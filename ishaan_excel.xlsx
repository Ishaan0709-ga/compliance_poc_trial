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apna.sharma\Downloads\"/>
    </mc:Choice>
  </mc:AlternateContent>
  <xr:revisionPtr revIDLastSave="0" documentId="8_{700BECC1-6890-408F-AD23-9F1B7C690B0E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Dashboard" sheetId="1" r:id="rId1"/>
    <sheet name="Read Me" sheetId="2" r:id="rId2"/>
    <sheet name="Raw Data Input" sheetId="3" r:id="rId3"/>
    <sheet name="MRR-ARR" sheetId="4" r:id="rId4"/>
    <sheet name="Customer Metrics" sheetId="5" r:id="rId5"/>
    <sheet name="Burn-Runway" sheetId="6" r:id="rId6"/>
    <sheet name="Team-Op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25" i="3" l="1"/>
  <c r="N13" i="5" s="1"/>
  <c r="N19" i="5" s="1"/>
  <c r="M25" i="3"/>
  <c r="M13" i="5" s="1"/>
  <c r="M19" i="5" s="1"/>
  <c r="L25" i="3"/>
  <c r="L13" i="5" s="1"/>
  <c r="L19" i="5" s="1"/>
  <c r="K25" i="3"/>
  <c r="K13" i="5" s="1"/>
  <c r="K19" i="5" s="1"/>
  <c r="J25" i="3"/>
  <c r="I25" i="3"/>
  <c r="H25" i="3"/>
  <c r="G25" i="3"/>
  <c r="F25" i="3"/>
  <c r="E25" i="3"/>
  <c r="E13" i="5" s="1"/>
  <c r="E19" i="5" s="1"/>
  <c r="N24" i="3"/>
  <c r="N10" i="5" s="1"/>
  <c r="M24" i="3"/>
  <c r="L24" i="3"/>
  <c r="K24" i="3"/>
  <c r="J24" i="3"/>
  <c r="I24" i="3"/>
  <c r="H24" i="3"/>
  <c r="H10" i="5" s="1"/>
  <c r="B19" i="1" s="1"/>
  <c r="G24" i="3"/>
  <c r="G10" i="5" s="1"/>
  <c r="F24" i="3"/>
  <c r="F10" i="5" s="1"/>
  <c r="E24" i="3"/>
  <c r="E10" i="5" s="1"/>
  <c r="N23" i="3"/>
  <c r="M23" i="3"/>
  <c r="L23" i="3"/>
  <c r="K23" i="3"/>
  <c r="J23" i="3"/>
  <c r="I23" i="3"/>
  <c r="H23" i="3"/>
  <c r="G23" i="3"/>
  <c r="F23" i="3"/>
  <c r="E23" i="3"/>
  <c r="F13" i="5" s="1"/>
  <c r="F19" i="5" s="1"/>
  <c r="N18" i="3"/>
  <c r="M18" i="3"/>
  <c r="L18" i="3"/>
  <c r="K18" i="3"/>
  <c r="J18" i="3"/>
  <c r="I18" i="3"/>
  <c r="H18" i="3"/>
  <c r="H7" i="6" s="1"/>
  <c r="G18" i="3"/>
  <c r="G7" i="6" s="1"/>
  <c r="F18" i="3"/>
  <c r="F7" i="6" s="1"/>
  <c r="E18" i="3"/>
  <c r="E7" i="6" s="1"/>
  <c r="D18" i="3"/>
  <c r="D7" i="6" s="1"/>
  <c r="C18" i="3"/>
  <c r="N15" i="3"/>
  <c r="N11" i="4" s="1"/>
  <c r="M15" i="3"/>
  <c r="L15" i="3"/>
  <c r="K15" i="3"/>
  <c r="J15" i="3"/>
  <c r="I15" i="3"/>
  <c r="H15" i="3"/>
  <c r="G15" i="3"/>
  <c r="F15" i="3"/>
  <c r="E15" i="3"/>
  <c r="D15" i="3"/>
  <c r="C15" i="3"/>
  <c r="C11" i="4" s="1"/>
  <c r="N12" i="3"/>
  <c r="M12" i="3"/>
  <c r="L12" i="3"/>
  <c r="K12" i="3"/>
  <c r="J12" i="3"/>
  <c r="I12" i="3"/>
  <c r="H12" i="3"/>
  <c r="G12" i="3"/>
  <c r="G9" i="4" s="1"/>
  <c r="F12" i="3"/>
  <c r="F9" i="4" s="1"/>
  <c r="E12" i="3"/>
  <c r="E9" i="4" s="1"/>
  <c r="D12" i="3"/>
  <c r="D9" i="4" s="1"/>
  <c r="C12" i="3"/>
  <c r="N11" i="3"/>
  <c r="M11" i="3"/>
  <c r="M20" i="4" s="1"/>
  <c r="L11" i="3"/>
  <c r="K11" i="3"/>
  <c r="J11" i="3"/>
  <c r="I11" i="3"/>
  <c r="H11" i="3"/>
  <c r="H8" i="4" s="1"/>
  <c r="G11" i="3"/>
  <c r="F11" i="3"/>
  <c r="F8" i="4" s="1"/>
  <c r="E11" i="3"/>
  <c r="E8" i="4" s="1"/>
  <c r="D11" i="3"/>
  <c r="D8" i="4" s="1"/>
  <c r="C11" i="3"/>
  <c r="C20" i="4" s="1"/>
  <c r="N9" i="3"/>
  <c r="M9" i="3"/>
  <c r="L9" i="3"/>
  <c r="L7" i="4" s="1"/>
  <c r="L15" i="4" s="1"/>
  <c r="K9" i="3"/>
  <c r="K7" i="4" s="1"/>
  <c r="L19" i="4" s="1"/>
  <c r="L20" i="5" s="1"/>
  <c r="J9" i="3"/>
  <c r="J7" i="4" s="1"/>
  <c r="J15" i="4" s="1"/>
  <c r="I9" i="3"/>
  <c r="I7" i="4" s="1"/>
  <c r="I21" i="4" s="1"/>
  <c r="I14" i="5" s="1"/>
  <c r="H9" i="3"/>
  <c r="H7" i="4" s="1"/>
  <c r="H21" i="4" s="1"/>
  <c r="D13" i="1" s="1"/>
  <c r="G9" i="3"/>
  <c r="G7" i="4" s="1"/>
  <c r="G21" i="4" s="1"/>
  <c r="G14" i="5" s="1"/>
  <c r="F9" i="3"/>
  <c r="F7" i="4" s="1"/>
  <c r="F21" i="4" s="1"/>
  <c r="F14" i="5" s="1"/>
  <c r="E9" i="3"/>
  <c r="E7" i="4" s="1"/>
  <c r="D9" i="3"/>
  <c r="D7" i="4" s="1"/>
  <c r="D15" i="4" s="1"/>
  <c r="C9" i="3"/>
  <c r="C7" i="4" s="1"/>
  <c r="N9" i="7"/>
  <c r="M9" i="7"/>
  <c r="L9" i="7"/>
  <c r="K9" i="7"/>
  <c r="J9" i="7"/>
  <c r="I9" i="7"/>
  <c r="H9" i="7"/>
  <c r="D34" i="1" s="1"/>
  <c r="G9" i="7"/>
  <c r="F9" i="7"/>
  <c r="E9" i="7"/>
  <c r="D9" i="7"/>
  <c r="C9" i="7"/>
  <c r="N8" i="7"/>
  <c r="M8" i="7"/>
  <c r="L8" i="7"/>
  <c r="K8" i="7"/>
  <c r="J8" i="7"/>
  <c r="I8" i="7"/>
  <c r="H8" i="7"/>
  <c r="G8" i="7"/>
  <c r="F8" i="7"/>
  <c r="E8" i="7"/>
  <c r="D8" i="7"/>
  <c r="C8" i="7"/>
  <c r="N7" i="7"/>
  <c r="N12" i="7" s="1"/>
  <c r="M7" i="7"/>
  <c r="M12" i="7" s="1"/>
  <c r="L7" i="7"/>
  <c r="L12" i="7" s="1"/>
  <c r="K7" i="7"/>
  <c r="J7" i="7"/>
  <c r="J12" i="7" s="1"/>
  <c r="I7" i="7"/>
  <c r="I12" i="7" s="1"/>
  <c r="H7" i="7"/>
  <c r="H12" i="7" s="1"/>
  <c r="F34" i="1" s="1"/>
  <c r="G7" i="7"/>
  <c r="G12" i="7" s="1"/>
  <c r="F7" i="7"/>
  <c r="F12" i="7" s="1"/>
  <c r="E7" i="7"/>
  <c r="E12" i="7" s="1"/>
  <c r="D7" i="7"/>
  <c r="D12" i="7" s="1"/>
  <c r="C7" i="7"/>
  <c r="C12" i="7" s="1"/>
  <c r="N12" i="6"/>
  <c r="M12" i="6"/>
  <c r="L12" i="6"/>
  <c r="K12" i="6"/>
  <c r="J12" i="6"/>
  <c r="I12" i="6"/>
  <c r="H12" i="6"/>
  <c r="G12" i="6"/>
  <c r="F12" i="6"/>
  <c r="E12" i="6"/>
  <c r="D12" i="6"/>
  <c r="C12" i="6"/>
  <c r="N8" i="6"/>
  <c r="M8" i="6"/>
  <c r="L8" i="6"/>
  <c r="K8" i="6"/>
  <c r="J8" i="6"/>
  <c r="I8" i="6"/>
  <c r="H8" i="6"/>
  <c r="G8" i="6"/>
  <c r="F8" i="6"/>
  <c r="E8" i="6"/>
  <c r="D8" i="6"/>
  <c r="C8" i="6"/>
  <c r="C9" i="6" s="1"/>
  <c r="N7" i="6"/>
  <c r="M7" i="6"/>
  <c r="L7" i="6"/>
  <c r="K7" i="6"/>
  <c r="J7" i="6"/>
  <c r="I7" i="6"/>
  <c r="C7" i="6"/>
  <c r="N28" i="5"/>
  <c r="M28" i="5"/>
  <c r="L28" i="5"/>
  <c r="K28" i="5"/>
  <c r="J28" i="5"/>
  <c r="I28" i="5"/>
  <c r="H28" i="5"/>
  <c r="F13" i="1" s="1"/>
  <c r="G28" i="5"/>
  <c r="F28" i="5"/>
  <c r="E28" i="5"/>
  <c r="D28" i="5"/>
  <c r="C28" i="5"/>
  <c r="N27" i="5"/>
  <c r="M27" i="5"/>
  <c r="L27" i="5"/>
  <c r="K27" i="5"/>
  <c r="J27" i="5"/>
  <c r="I27" i="5"/>
  <c r="H27" i="5"/>
  <c r="H13" i="1" s="1"/>
  <c r="G27" i="5"/>
  <c r="F27" i="5"/>
  <c r="E27" i="5"/>
  <c r="D27" i="5"/>
  <c r="C27" i="5"/>
  <c r="N26" i="5"/>
  <c r="M26" i="5"/>
  <c r="L26" i="5"/>
  <c r="K26" i="5"/>
  <c r="J26" i="5"/>
  <c r="I26" i="5"/>
  <c r="H26" i="5"/>
  <c r="G26" i="5"/>
  <c r="F26" i="5"/>
  <c r="E26" i="5"/>
  <c r="D26" i="5"/>
  <c r="C26" i="5"/>
  <c r="N25" i="5"/>
  <c r="M25" i="5"/>
  <c r="L25" i="5"/>
  <c r="K25" i="5"/>
  <c r="J25" i="5"/>
  <c r="I25" i="5"/>
  <c r="H25" i="5"/>
  <c r="G25" i="5"/>
  <c r="F25" i="5"/>
  <c r="E25" i="5"/>
  <c r="D25" i="5"/>
  <c r="C25" i="5"/>
  <c r="N24" i="5"/>
  <c r="M24" i="5"/>
  <c r="L24" i="5"/>
  <c r="K24" i="5"/>
  <c r="J24" i="5"/>
  <c r="I24" i="5"/>
  <c r="H24" i="5"/>
  <c r="G24" i="5"/>
  <c r="F24" i="5"/>
  <c r="E24" i="5"/>
  <c r="D24" i="5"/>
  <c r="C24" i="5"/>
  <c r="N21" i="5"/>
  <c r="M21" i="5"/>
  <c r="L21" i="5"/>
  <c r="K21" i="5"/>
  <c r="J21" i="5"/>
  <c r="I21" i="5"/>
  <c r="H21" i="5"/>
  <c r="D22" i="1" s="1"/>
  <c r="G21" i="5"/>
  <c r="F21" i="5"/>
  <c r="E21" i="5"/>
  <c r="D21" i="5"/>
  <c r="C21" i="5"/>
  <c r="C20" i="5"/>
  <c r="C16" i="5"/>
  <c r="C15" i="5"/>
  <c r="J13" i="5"/>
  <c r="J19" i="5" s="1"/>
  <c r="I13" i="5"/>
  <c r="I19" i="5" s="1"/>
  <c r="H13" i="5"/>
  <c r="H19" i="5" s="1"/>
  <c r="H19" i="1" s="1"/>
  <c r="G13" i="5"/>
  <c r="G19" i="5" s="1"/>
  <c r="D13" i="5"/>
  <c r="D19" i="5" s="1"/>
  <c r="C13" i="5"/>
  <c r="C19" i="5" s="1"/>
  <c r="M10" i="5"/>
  <c r="L10" i="5"/>
  <c r="K10" i="5"/>
  <c r="J10" i="5"/>
  <c r="I10" i="5"/>
  <c r="D10" i="5"/>
  <c r="C10" i="5"/>
  <c r="N20" i="4"/>
  <c r="C19" i="4"/>
  <c r="C18" i="4"/>
  <c r="M11" i="4"/>
  <c r="L11" i="4"/>
  <c r="K11" i="4"/>
  <c r="J11" i="4"/>
  <c r="I11" i="4"/>
  <c r="H11" i="4"/>
  <c r="G11" i="4"/>
  <c r="F11" i="4"/>
  <c r="E11" i="4"/>
  <c r="D11" i="4"/>
  <c r="N10" i="4"/>
  <c r="M10" i="4"/>
  <c r="L10" i="4"/>
  <c r="K10" i="4"/>
  <c r="J10" i="4"/>
  <c r="I10" i="4"/>
  <c r="H10" i="4"/>
  <c r="G10" i="4"/>
  <c r="F10" i="4"/>
  <c r="E10" i="4"/>
  <c r="D10" i="4"/>
  <c r="C10" i="4"/>
  <c r="N9" i="4"/>
  <c r="M9" i="4"/>
  <c r="L9" i="4"/>
  <c r="K9" i="4"/>
  <c r="J9" i="4"/>
  <c r="I9" i="4"/>
  <c r="H9" i="4"/>
  <c r="C9" i="4"/>
  <c r="N8" i="4"/>
  <c r="M8" i="4"/>
  <c r="L8" i="4"/>
  <c r="K8" i="4"/>
  <c r="J8" i="4"/>
  <c r="I8" i="4"/>
  <c r="G8" i="4"/>
  <c r="N7" i="4"/>
  <c r="N15" i="4" s="1"/>
  <c r="M7" i="4"/>
  <c r="M15" i="4" s="1"/>
  <c r="B34" i="1"/>
  <c r="D28" i="1"/>
  <c r="D9" i="6" l="1"/>
  <c r="K12" i="7"/>
  <c r="H20" i="4"/>
  <c r="B13" i="1" s="1"/>
  <c r="I20" i="4"/>
  <c r="J20" i="4"/>
  <c r="D20" i="4"/>
  <c r="E20" i="4"/>
  <c r="F20" i="4"/>
  <c r="G20" i="4"/>
  <c r="K20" i="4"/>
  <c r="L20" i="4"/>
  <c r="C8" i="4"/>
  <c r="E21" i="4"/>
  <c r="E14" i="5" s="1"/>
  <c r="E15" i="4"/>
  <c r="I9" i="6"/>
  <c r="M21" i="4"/>
  <c r="M14" i="5" s="1"/>
  <c r="M15" i="5" s="1"/>
  <c r="M16" i="5" s="1"/>
  <c r="N19" i="4"/>
  <c r="N20" i="5" s="1"/>
  <c r="N9" i="6"/>
  <c r="D12" i="4"/>
  <c r="D17" i="6" s="1"/>
  <c r="E12" i="4"/>
  <c r="D18" i="4"/>
  <c r="E18" i="4"/>
  <c r="J19" i="4"/>
  <c r="J20" i="5" s="1"/>
  <c r="K19" i="4"/>
  <c r="K20" i="5" s="1"/>
  <c r="E9" i="6"/>
  <c r="E13" i="6" s="1"/>
  <c r="E16" i="6" s="1"/>
  <c r="G9" i="6"/>
  <c r="C12" i="4"/>
  <c r="C17" i="6" s="1"/>
  <c r="M19" i="4"/>
  <c r="M20" i="5" s="1"/>
  <c r="L21" i="4"/>
  <c r="L14" i="5" s="1"/>
  <c r="L15" i="5" s="1"/>
  <c r="L16" i="5" s="1"/>
  <c r="F9" i="6"/>
  <c r="H9" i="6"/>
  <c r="B28" i="1" s="1"/>
  <c r="G13" i="7"/>
  <c r="F12" i="4"/>
  <c r="H13" i="7"/>
  <c r="E15" i="5"/>
  <c r="E16" i="5" s="1"/>
  <c r="G12" i="4"/>
  <c r="L9" i="6"/>
  <c r="I13" i="7"/>
  <c r="D13" i="7"/>
  <c r="E13" i="7"/>
  <c r="C13" i="7"/>
  <c r="D19" i="4"/>
  <c r="D20" i="5" s="1"/>
  <c r="J9" i="6"/>
  <c r="F15" i="5"/>
  <c r="F16" i="5" s="1"/>
  <c r="H12" i="4"/>
  <c r="F10" i="1" s="1"/>
  <c r="F19" i="4"/>
  <c r="F20" i="5" s="1"/>
  <c r="K9" i="6"/>
  <c r="G15" i="5"/>
  <c r="G16" i="5" s="1"/>
  <c r="I12" i="4"/>
  <c r="I17" i="6" s="1"/>
  <c r="I15" i="5"/>
  <c r="I16" i="5" s="1"/>
  <c r="B10" i="1"/>
  <c r="N12" i="4"/>
  <c r="C21" i="4"/>
  <c r="C14" i="5" s="1"/>
  <c r="C15" i="4"/>
  <c r="N21" i="4"/>
  <c r="N14" i="5" s="1"/>
  <c r="N15" i="5" s="1"/>
  <c r="N16" i="5" s="1"/>
  <c r="D13" i="6"/>
  <c r="D16" i="6" s="1"/>
  <c r="J21" i="4"/>
  <c r="J14" i="5" s="1"/>
  <c r="J15" i="5" s="1"/>
  <c r="J16" i="5" s="1"/>
  <c r="K15" i="4"/>
  <c r="K13" i="7"/>
  <c r="K18" i="4"/>
  <c r="K21" i="4"/>
  <c r="K14" i="5" s="1"/>
  <c r="K15" i="5" s="1"/>
  <c r="K16" i="5" s="1"/>
  <c r="I18" i="4"/>
  <c r="M9" i="6"/>
  <c r="F15" i="4"/>
  <c r="H14" i="5"/>
  <c r="H15" i="5" s="1"/>
  <c r="J12" i="4"/>
  <c r="J17" i="6" s="1"/>
  <c r="K12" i="4"/>
  <c r="F18" i="4"/>
  <c r="J13" i="7"/>
  <c r="L12" i="4"/>
  <c r="G18" i="4"/>
  <c r="M12" i="4"/>
  <c r="H18" i="4"/>
  <c r="H10" i="1" s="1"/>
  <c r="J18" i="4"/>
  <c r="G15" i="4"/>
  <c r="G19" i="4"/>
  <c r="G20" i="5" s="1"/>
  <c r="C13" i="6"/>
  <c r="C16" i="6" s="1"/>
  <c r="E19" i="4"/>
  <c r="E20" i="5" s="1"/>
  <c r="D21" i="4"/>
  <c r="D14" i="5" s="1"/>
  <c r="D15" i="5" s="1"/>
  <c r="D16" i="5" s="1"/>
  <c r="H15" i="4"/>
  <c r="D10" i="1" s="1"/>
  <c r="H19" i="4"/>
  <c r="H20" i="5" s="1"/>
  <c r="B22" i="1" s="1"/>
  <c r="I15" i="4"/>
  <c r="I19" i="4"/>
  <c r="I20" i="5" s="1"/>
  <c r="F13" i="7"/>
  <c r="L18" i="4"/>
  <c r="L13" i="7"/>
  <c r="M18" i="4"/>
  <c r="M13" i="7"/>
  <c r="N18" i="4"/>
  <c r="N13" i="7"/>
  <c r="E17" i="6" l="1"/>
  <c r="G13" i="6"/>
  <c r="G16" i="6" s="1"/>
  <c r="F13" i="6"/>
  <c r="F16" i="6" s="1"/>
  <c r="G17" i="6"/>
  <c r="J13" i="6"/>
  <c r="J16" i="6" s="1"/>
  <c r="N17" i="6"/>
  <c r="L17" i="6"/>
  <c r="H13" i="6"/>
  <c r="H16" i="6" s="1"/>
  <c r="F28" i="1" s="1"/>
  <c r="F17" i="6"/>
  <c r="I13" i="6"/>
  <c r="I16" i="6" s="1"/>
  <c r="H17" i="6"/>
  <c r="H28" i="1" s="1"/>
  <c r="L13" i="6"/>
  <c r="L16" i="6" s="1"/>
  <c r="K17" i="6"/>
  <c r="K13" i="6"/>
  <c r="K16" i="6" s="1"/>
  <c r="D19" i="1"/>
  <c r="H16" i="5"/>
  <c r="F19" i="1" s="1"/>
  <c r="M17" i="6"/>
  <c r="M13" i="6"/>
  <c r="M16" i="6" s="1"/>
  <c r="N13" i="6"/>
  <c r="N16" i="6" s="1"/>
</calcChain>
</file>

<file path=xl/sharedStrings.xml><?xml version="1.0" encoding="utf-8"?>
<sst xmlns="http://schemas.openxmlformats.org/spreadsheetml/2006/main" count="203" uniqueCount="147">
  <si>
    <t>Founder KPI Dashboard</t>
  </si>
  <si>
    <t>Live summary — pulls latest month from each KPI sheet. Select reporting month below.</t>
  </si>
  <si>
    <t>Reporting month (type exactly as column header, e.g. Jun-26):</t>
  </si>
  <si>
    <t>Jun-26</t>
  </si>
  <si>
    <t>REVENUE &amp; GROWTH</t>
  </si>
  <si>
    <t>MRR</t>
  </si>
  <si>
    <t>ARR</t>
  </si>
  <si>
    <t>Net new MRR</t>
  </si>
  <si>
    <t>MRR growth MoM</t>
  </si>
  <si>
    <t>MRR quick ratio</t>
  </si>
  <si>
    <t>ARPU</t>
  </si>
  <si>
    <t>Lead-to-close conv.</t>
  </si>
  <si>
    <t>Deals closed-won</t>
  </si>
  <si>
    <t>CUSTOMERS</t>
  </si>
  <si>
    <t>CAC</t>
  </si>
  <si>
    <t>LTV</t>
  </si>
  <si>
    <t>LTV : CAC ratio</t>
  </si>
  <si>
    <t>Logo churn rate</t>
  </si>
  <si>
    <t>Net revenue retention</t>
  </si>
  <si>
    <t>NPS score</t>
  </si>
  <si>
    <t>BURN &amp; RUNWAY</t>
  </si>
  <si>
    <t>Monthly net burn</t>
  </si>
  <si>
    <t>Cash balance</t>
  </si>
  <si>
    <t>Cash runway (months)</t>
  </si>
  <si>
    <t>Burn multiple</t>
  </si>
  <si>
    <t>TEAM &amp; OPS</t>
  </si>
  <si>
    <t>Headcount</t>
  </si>
  <si>
    <t>Attrition rate</t>
  </si>
  <si>
    <t>Revenue per employee</t>
  </si>
  <si>
    <t>Note: figures pull from the column in each KPI sheet matching the month typed in cell D5.</t>
  </si>
  <si>
    <t>SaaS Founder KPI Tracker</t>
  </si>
  <si>
    <t>Placeholder template to compute MRR, ARR, churn, CAC, LTV, burn, runway and team KPIs</t>
  </si>
  <si>
    <t>How to use this workbook</t>
  </si>
  <si>
    <t>1. Enter raw data into the BLUE input cells on the 'Raw Data Input' sheet each month.</t>
  </si>
  <si>
    <t>2. Pull P&amp;L, Cash Flow and Balance Sheet figures from Zoho Books Reports API (or manual entry).</t>
  </si>
  <si>
    <t>3. Pull Recurring Invoices list from Zoho Books to fill the Customers &amp; Subscriptions table.</t>
  </si>
  <si>
    <t>4. All KPI sheets (MRR-ARR, Customer Metrics, Burn-Runway, Team-Ops) calculate automatically.</t>
  </si>
  <si>
    <t>5. The Dashboard sheet pulls a live summary from all KPI sheets — do not edit it directly.</t>
  </si>
  <si>
    <t>Color coding</t>
  </si>
  <si>
    <t>Blue text = hardcoded input (you type this in)</t>
  </si>
  <si>
    <t>Black text = formula / calculation (do not overwrite)</t>
  </si>
  <si>
    <t>Green text = link pulled from another sheet</t>
  </si>
  <si>
    <t>Yellow fill = key assumption to review every month</t>
  </si>
  <si>
    <t>Sheet guide</t>
  </si>
  <si>
    <t>Raw Data Input — monthly data entry point fed by Zoho Books + CRM + HRMS exports</t>
  </si>
  <si>
    <t>MRR-ARR — recurring revenue, new/expansion/churned MRR, ARR, quick ratio</t>
  </si>
  <si>
    <t>Customer Metrics — CAC, LTV, LTV:CAC, churn rate, NRR, NPS, sales funnel</t>
  </si>
  <si>
    <t>Burn-Runway — monthly burn, burn multiple, cash runway</t>
  </si>
  <si>
    <t>Team-Ops — headcount, revenue per employee, attrition</t>
  </si>
  <si>
    <t>Dashboard — one-page summary view, mirrors the founder dashboard</t>
  </si>
  <si>
    <t>Raw Data Input</t>
  </si>
  <si>
    <t>Enter monthly figures here. Source noted per section. All values in INR unless noted.</t>
  </si>
  <si>
    <t>Month</t>
  </si>
  <si>
    <t>Jan-26</t>
  </si>
  <si>
    <t>Feb-26</t>
  </si>
  <si>
    <t>Mar-26</t>
  </si>
  <si>
    <t>Apr-26</t>
  </si>
  <si>
    <t>May-26</t>
  </si>
  <si>
    <t>Jul-26</t>
  </si>
  <si>
    <t>Aug-26</t>
  </si>
  <si>
    <t>Sep-26</t>
  </si>
  <si>
    <t>Oct-26</t>
  </si>
  <si>
    <t>Nov-26</t>
  </si>
  <si>
    <t>Dec-26</t>
  </si>
  <si>
    <t>REVENUE &amp; SUBSCRIPTIONS  (Source: Zoho Books — Recurring Invoices API)</t>
  </si>
  <si>
    <t>Active subscriptions (count, end of month)</t>
  </si>
  <si>
    <t>Total monthly-normalized invoice value of active subs (Rs)</t>
  </si>
  <si>
    <t>New subscriptions started this month (count)</t>
  </si>
  <si>
    <t>New MRR added this month (Rs)</t>
  </si>
  <si>
    <t>Subscriptions upgraded this month — MRR added (Rs)</t>
  </si>
  <si>
    <t>Subscriptions downgraded this month — MRR lost (Rs)</t>
  </si>
  <si>
    <t>Subscriptions cancelled this month (count)</t>
  </si>
  <si>
    <t>MRR lost to cancellations this month (Rs)</t>
  </si>
  <si>
    <t>P&amp;L / CASH FLOW  (Source: Zoho Books — /reports/profitandloss, /reports/cashflow)</t>
  </si>
  <si>
    <t>Total revenue recognized this month (Rs) — from P&amp;L Operating Income</t>
  </si>
  <si>
    <t>Total operating expenses this month (Rs) — from P&amp;L</t>
  </si>
  <si>
    <t>Cash &amp; bank balance, end of month (Rs) — from Balance Sheet</t>
  </si>
  <si>
    <t>CUSTOMERS &amp; SALES  (Source: Zoho CRM / Zoho Books Contacts)</t>
  </si>
  <si>
    <t>Total active customers, end of month (count)</t>
  </si>
  <si>
    <t>New customers acquired this month (count)</t>
  </si>
  <si>
    <t>Customers churned this month (count)</t>
  </si>
  <si>
    <t>Sales &amp; marketing spend this month (Rs)</t>
  </si>
  <si>
    <t>Leads generated this month (count)</t>
  </si>
  <si>
    <t>Leads qualified this month (count)</t>
  </si>
  <si>
    <t>Demos completed this month (count)</t>
  </si>
  <si>
    <t>Deals closed-won this month (count)</t>
  </si>
  <si>
    <t>NPS score this month (survey tool, -100 to 100)</t>
  </si>
  <si>
    <t>TEAM &amp; OPS  (Source: Zoho People / Payroll)</t>
  </si>
  <si>
    <t>Headcount, end of month</t>
  </si>
  <si>
    <t>Employees exited this month (count)</t>
  </si>
  <si>
    <t>Open roles (count)</t>
  </si>
  <si>
    <t>MRR &amp; ARR</t>
  </si>
  <si>
    <t>All cells link to 'Raw Data Input'. Formulas only — do not hardcode values here.</t>
  </si>
  <si>
    <t>MONTHLY RECURRING REVENUE</t>
  </si>
  <si>
    <t>MRR — total active normalized monthly value (Rs)</t>
  </si>
  <si>
    <t>New MRR added</t>
  </si>
  <si>
    <t>Expansion MRR (upgrades)</t>
  </si>
  <si>
    <t>Contraction MRR (downgrades)</t>
  </si>
  <si>
    <t>Churned MRR (cancellations)</t>
  </si>
  <si>
    <t>Net new MRR  (new + expansion - contraction - churn)</t>
  </si>
  <si>
    <t>ANNUAL RECURRING REVENUE</t>
  </si>
  <si>
    <t>ARR  (MRR x 12)</t>
  </si>
  <si>
    <t>GROWTH METRICS</t>
  </si>
  <si>
    <t>MRR growth rate MoM (%)</t>
  </si>
  <si>
    <t>MRR churn rate (%)  = churned MRR / prior month MRR</t>
  </si>
  <si>
    <t>MRR quick ratio  = (new + expansion) / (contraction + churn)</t>
  </si>
  <si>
    <t>ARPU  = MRR / active subscriptions</t>
  </si>
  <si>
    <t>Customer Metrics</t>
  </si>
  <si>
    <t>CAC, LTV, churn, NRR, NPS and sales funnel — linked from Raw Data Input.</t>
  </si>
  <si>
    <t>ASSUMPTIONS</t>
  </si>
  <si>
    <t>Gross margin assumption (%) — used in LTV calc</t>
  </si>
  <si>
    <t>CUSTOMER ACQUISITION COST (CAC)</t>
  </si>
  <si>
    <t>CAC  = sales &amp; marketing spend / new customers acquired</t>
  </si>
  <si>
    <t>CUSTOMER LIFETIME VALUE (LTV)</t>
  </si>
  <si>
    <t>Customer churn rate (%)  = churned customers / active customers (start of month)</t>
  </si>
  <si>
    <t>ARPU  (linked from MRR-ARR sheet)</t>
  </si>
  <si>
    <t>LTV  = (ARPU x gross margin) / customer churn rate</t>
  </si>
  <si>
    <t>RETENTION &amp; SATISFACTION</t>
  </si>
  <si>
    <t>Logo churn rate (%)  (same as customer churn above)</t>
  </si>
  <si>
    <t>Net revenue retention (%)  = 1 - MRR churn rate + expansion rate</t>
  </si>
  <si>
    <t>NPS score  (linked from Raw Data Input)</t>
  </si>
  <si>
    <t>SALES FUNNEL &amp; CONVERSION</t>
  </si>
  <si>
    <t>Leads generated</t>
  </si>
  <si>
    <t>Leads qualified</t>
  </si>
  <si>
    <t>Demos completed</t>
  </si>
  <si>
    <t>Lead-to-close conversion rate (%)</t>
  </si>
  <si>
    <t>Burn &amp; Runway</t>
  </si>
  <si>
    <t>Linked from Raw Data Input (Zoho Books P&amp;L / Balance Sheet).</t>
  </si>
  <si>
    <t>MONTHLY BURN</t>
  </si>
  <si>
    <t>Revenue recognized this month</t>
  </si>
  <si>
    <t>Operating expenses this month</t>
  </si>
  <si>
    <t>Net burn  = operating expenses - revenue</t>
  </si>
  <si>
    <t>CASH POSITION</t>
  </si>
  <si>
    <t>Cash &amp; bank balance, end of month</t>
  </si>
  <si>
    <t>Trailing 3-month average burn</t>
  </si>
  <si>
    <t>RUNWAY &amp; EFFICIENCY</t>
  </si>
  <si>
    <t>Cash runway (months)  = cash balance / trailing 3-mo avg burn</t>
  </si>
  <si>
    <t>Burn multiple  = net burn / net new ARR</t>
  </si>
  <si>
    <t>Team &amp; Ops</t>
  </si>
  <si>
    <t>Linked from Raw Data Input (Zoho People / Payroll) and MRR-ARR sheet.</t>
  </si>
  <si>
    <t>HEADCOUNT</t>
  </si>
  <si>
    <t>Open roles</t>
  </si>
  <si>
    <t>Attrition rate (%)  = exits this month / headcount (start of month)</t>
  </si>
  <si>
    <t>PRODUCTIVITY</t>
  </si>
  <si>
    <t>Revenue per employee  = monthly revenue / headcount</t>
  </si>
  <si>
    <t>MRR per employee  = MRR / headcount</t>
  </si>
  <si>
    <t>Monthly Subscription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</si>
</sst>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\₹* #,##0_-;&quot;-₹&quot;* #,##0_-;_-\₹* \-_-;_-@_-"/>
    <numFmt numFmtId="165" formatCode="0.0%"/>
    <numFmt numFmtId="166" formatCode="0.0\x"/>
    <numFmt numFmtId="167" formatCode="#,##0;\(#,##0\);\-"/>
    <numFmt numFmtId="168" formatCode="#,##0.0;\(#,##0.0\);\-"/>
  </numFmts>
  <fonts count="16" x14ac:knownFonts="1">
    <font>
      <sz val="11"/>
      <color theme="1"/>
      <name val="Calibri"/>
      <family val="2"/>
      <charset val="1"/>
    </font>
    <font>
      <sz val="10"/>
      <name val="Arial"/>
    </font>
    <font>
      <b/>
      <sz val="18"/>
      <color rgb="FF0F2557"/>
      <name val="Calibri"/>
      <charset val="1"/>
    </font>
    <font>
      <i/>
      <sz val="10"/>
      <color rgb="FF666666"/>
      <name val="Calibri"/>
      <charset val="1"/>
    </font>
    <font>
      <b/>
      <sz val="10"/>
      <color rgb="FF333333"/>
      <name val="Calibri"/>
      <charset val="1"/>
    </font>
    <font>
      <b/>
      <sz val="11"/>
      <color rgb="FF0000FF"/>
      <name val="Calibri"/>
      <charset val="1"/>
    </font>
    <font>
      <b/>
      <sz val="11"/>
      <color rgb="FFFFFFFF"/>
      <name val="Calibri"/>
      <charset val="1"/>
    </font>
    <font>
      <sz val="10"/>
      <color rgb="FF333333"/>
      <name val="Calibri"/>
      <charset val="1"/>
    </font>
    <font>
      <b/>
      <sz val="15"/>
      <color rgb="FF0F2557"/>
      <name val="Calibri"/>
      <charset val="1"/>
    </font>
    <font>
      <i/>
      <sz val="8"/>
      <color rgb="FF999999"/>
      <name val="Calibri"/>
      <charset val="1"/>
    </font>
    <font>
      <b/>
      <sz val="16"/>
      <color rgb="FF0F2557"/>
      <name val="Calibri"/>
      <charset val="1"/>
    </font>
    <font>
      <b/>
      <sz val="11"/>
      <color rgb="FF0D7377"/>
      <name val="Calibri"/>
      <charset val="1"/>
    </font>
    <font>
      <sz val="10"/>
      <color rgb="FF0000FF"/>
      <name val="Calibri"/>
      <charset val="1"/>
    </font>
    <font>
      <b/>
      <sz val="10"/>
      <color rgb="FF000000"/>
      <name val="Calibri"/>
      <charset val="1"/>
    </font>
    <font>
      <sz val="10"/>
      <color rgb="FF008000"/>
      <name val="Calibri"/>
      <charset val="1"/>
    </font>
    <font>
      <sz val="10"/>
      <color rgb="FF000000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CCFFCC"/>
      </patternFill>
    </fill>
    <fill>
      <patternFill patternType="solid">
        <fgColor rgb="FF0D7377"/>
        <bgColor rgb="FF008080"/>
      </patternFill>
    </fill>
    <fill>
      <patternFill patternType="solid">
        <fgColor rgb="FFEEF3FB"/>
        <bgColor rgb="FFFFFFFF"/>
      </patternFill>
    </fill>
    <fill>
      <patternFill patternType="solid">
        <fgColor rgb="FF0F2557"/>
        <bgColor rgb="FF333333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">
    <xf numFmtId="0" fontId="0" fillId="0" borderId="0"/>
    <xf numFmtId="9" fontId="1" fillId="0" borderId="0" applyBorder="0" applyAlignment="0" applyProtection="0"/>
  </cellStyleXfs>
  <cellXfs count="36">
    <xf numFmtId="0" fontId="0" fillId="0" borderId="0" xfId="0"/>
    <xf numFmtId="0" fontId="7" fillId="0" borderId="0" xfId="0" applyFont="1" applyAlignment="1">
      <alignment wrapText="1"/>
    </xf>
    <xf numFmtId="0" fontId="1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left" vertical="center"/>
    </xf>
    <xf numFmtId="0" fontId="6" fillId="3" borderId="1" xfId="0" applyFont="1" applyFill="1" applyBorder="1"/>
    <xf numFmtId="0" fontId="7" fillId="4" borderId="1" xfId="0" applyFont="1" applyFill="1" applyBorder="1" applyAlignment="1">
      <alignment wrapText="1"/>
    </xf>
    <xf numFmtId="164" fontId="8" fillId="4" borderId="1" xfId="0" applyNumberFormat="1" applyFont="1" applyFill="1" applyBorder="1"/>
    <xf numFmtId="165" fontId="8" fillId="4" borderId="1" xfId="0" applyNumberFormat="1" applyFont="1" applyFill="1" applyBorder="1"/>
    <xf numFmtId="166" fontId="8" fillId="4" borderId="1" xfId="0" applyNumberFormat="1" applyFont="1" applyFill="1" applyBorder="1"/>
    <xf numFmtId="167" fontId="8" fillId="4" borderId="1" xfId="0" applyNumberFormat="1" applyFont="1" applyFill="1" applyBorder="1"/>
    <xf numFmtId="168" fontId="8" fillId="4" borderId="1" xfId="0" applyNumberFormat="1" applyFont="1" applyFill="1" applyBorder="1"/>
    <xf numFmtId="0" fontId="9" fillId="0" borderId="0" xfId="0" applyFont="1"/>
    <xf numFmtId="0" fontId="10" fillId="0" borderId="0" xfId="0" applyFont="1"/>
    <xf numFmtId="0" fontId="6" fillId="5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indent="1"/>
    </xf>
    <xf numFmtId="167" fontId="12" fillId="0" borderId="1" xfId="0" applyNumberFormat="1" applyFont="1" applyBorder="1"/>
    <xf numFmtId="0" fontId="4" fillId="0" borderId="0" xfId="0" applyFont="1" applyAlignment="1">
      <alignment indent="1"/>
    </xf>
    <xf numFmtId="164" fontId="13" fillId="0" borderId="1" xfId="0" applyNumberFormat="1" applyFont="1" applyBorder="1"/>
    <xf numFmtId="164" fontId="14" fillId="0" borderId="1" xfId="0" applyNumberFormat="1" applyFont="1" applyBorder="1"/>
    <xf numFmtId="0" fontId="15" fillId="0" borderId="1" xfId="0" applyFont="1" applyBorder="1"/>
    <xf numFmtId="165" fontId="15" fillId="0" borderId="1" xfId="0" applyNumberFormat="1" applyFont="1" applyBorder="1"/>
    <xf numFmtId="166" fontId="15" fillId="0" borderId="1" xfId="0" applyNumberFormat="1" applyFont="1" applyBorder="1"/>
    <xf numFmtId="164" fontId="15" fillId="0" borderId="1" xfId="0" applyNumberFormat="1" applyFont="1" applyBorder="1"/>
    <xf numFmtId="165" fontId="12" fillId="2" borderId="1" xfId="0" applyNumberFormat="1" applyFont="1" applyFill="1" applyBorder="1"/>
    <xf numFmtId="166" fontId="13" fillId="0" borderId="1" xfId="0" applyNumberFormat="1" applyFont="1" applyBorder="1"/>
    <xf numFmtId="165" fontId="14" fillId="0" borderId="1" xfId="0" applyNumberFormat="1" applyFont="1" applyBorder="1"/>
    <xf numFmtId="165" fontId="13" fillId="0" borderId="1" xfId="0" applyNumberFormat="1" applyFont="1" applyBorder="1"/>
    <xf numFmtId="167" fontId="14" fillId="0" borderId="1" xfId="0" applyNumberFormat="1" applyFont="1" applyBorder="1"/>
    <xf numFmtId="168" fontId="13" fillId="0" borderId="1" xfId="0" applyNumberFormat="1" applyFont="1" applyBorder="1"/>
    <xf numFmtId="0" fontId="7" fillId="6" borderId="0" xfId="0" applyFont="1" applyFill="1" applyAlignment="1">
      <alignment indent="1"/>
    </xf>
    <xf numFmtId="165" fontId="1" fillId="0" borderId="0" xfId="1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7377"/>
      <rgbColor rgb="FFC0C0C0"/>
      <rgbColor rgb="FF808080"/>
      <rgbColor rgb="FF9999FF"/>
      <rgbColor rgb="FF993366"/>
      <rgbColor rgb="FFEEF3FB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F2557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37"/>
  <sheetViews>
    <sheetView showGridLines="0" tabSelected="1" topLeftCell="A13" zoomScaleNormal="100" workbookViewId="0">
      <selection activeCell="K25" sqref="K25"/>
    </sheetView>
  </sheetViews>
  <sheetFormatPr defaultColWidth="8.6328125" defaultRowHeight="14.5" x14ac:dyDescent="0.35"/>
  <cols>
    <col min="1" max="1" width="3" customWidth="1"/>
    <col min="2" max="2" width="30" customWidth="1"/>
    <col min="3" max="3" width="19.6328125" customWidth="1"/>
    <col min="4" max="4" width="18.81640625" customWidth="1"/>
    <col min="5" max="8" width="16" customWidth="1"/>
  </cols>
  <sheetData>
    <row r="2" spans="2:8" ht="23.5" x14ac:dyDescent="0.55000000000000004">
      <c r="B2" s="3" t="s">
        <v>0</v>
      </c>
    </row>
    <row r="3" spans="2:8" x14ac:dyDescent="0.35">
      <c r="B3" s="4" t="s">
        <v>1</v>
      </c>
    </row>
    <row r="5" spans="2:8" x14ac:dyDescent="0.35">
      <c r="B5" s="5" t="s">
        <v>2</v>
      </c>
      <c r="D5" s="6" t="s">
        <v>3</v>
      </c>
    </row>
    <row r="7" spans="2:8" ht="18" customHeight="1" x14ac:dyDescent="0.35">
      <c r="B7" s="7" t="s">
        <v>4</v>
      </c>
      <c r="C7" s="8"/>
      <c r="D7" s="8"/>
      <c r="E7" s="8"/>
      <c r="F7" s="8"/>
      <c r="G7" s="8"/>
      <c r="H7" s="8"/>
    </row>
    <row r="9" spans="2:8" ht="27.75" customHeight="1" x14ac:dyDescent="0.35">
      <c r="B9" s="9" t="s">
        <v>5</v>
      </c>
      <c r="D9" s="9" t="s">
        <v>6</v>
      </c>
      <c r="F9" s="9" t="s">
        <v>7</v>
      </c>
      <c r="H9" s="9" t="s">
        <v>8</v>
      </c>
    </row>
    <row r="10" spans="2:8" ht="21.75" customHeight="1" x14ac:dyDescent="0.45">
      <c r="B10" s="10">
        <f>INDEX('MRR-ARR'!$C$7:$N$7,MATCH($D$5,'MRR-ARR'!$C$5:$N$5,0))</f>
        <v>1470000</v>
      </c>
      <c r="D10" s="10">
        <f>INDEX('MRR-ARR'!$C$15:$N$15,MATCH($D$5,'MRR-ARR'!$C$5:$N$5,0))</f>
        <v>17640000</v>
      </c>
      <c r="F10" s="10">
        <f>INDEX('MRR-ARR'!$C$12:$N$12,MATCH($D$5,'MRR-ARR'!$C$5:$N$5,0))</f>
        <v>1611435</v>
      </c>
      <c r="H10" s="11">
        <f>INDEX('MRR-ARR'!$C$18:$N$18,MATCH($D$5,'MRR-ARR'!$C$5:$N$5,0))</f>
        <v>2.4390243902439025E-2</v>
      </c>
    </row>
    <row r="12" spans="2:8" ht="27.75" customHeight="1" x14ac:dyDescent="0.35">
      <c r="B12" s="9" t="s">
        <v>9</v>
      </c>
      <c r="D12" s="9" t="s">
        <v>10</v>
      </c>
      <c r="F12" s="9" t="s">
        <v>11</v>
      </c>
      <c r="H12" s="9" t="s">
        <v>12</v>
      </c>
    </row>
    <row r="13" spans="2:8" ht="21.75" customHeight="1" x14ac:dyDescent="0.45">
      <c r="B13" s="12">
        <f>INDEX('MRR-ARR'!$C$20:$N$20,MATCH($D$5,'MRR-ARR'!$C$5:$N$5,0))</f>
        <v>42.784908595877091</v>
      </c>
      <c r="D13" s="10">
        <f>INDEX('MRR-ARR'!$C$21:$N$21,MATCH($D$5,'MRR-ARR'!$C$5:$N$5,0))</f>
        <v>5000</v>
      </c>
      <c r="F13" s="11">
        <f>INDEX('Customer Metrics'!$C$28:$N$28,MATCH($D$5,'MRR-ARR'!$C$5:$N$5,0))</f>
        <v>0.5</v>
      </c>
      <c r="H13" s="13">
        <f>INDEX('Customer Metrics'!$C$27:$N$27,MATCH($D$5,'MRR-ARR'!$C$5:$N$5,0))</f>
        <v>20</v>
      </c>
    </row>
    <row r="16" spans="2:8" ht="18" customHeight="1" x14ac:dyDescent="0.35">
      <c r="B16" s="7" t="s">
        <v>13</v>
      </c>
      <c r="C16" s="8"/>
      <c r="D16" s="8"/>
      <c r="E16" s="8"/>
      <c r="F16" s="8"/>
      <c r="G16" s="8"/>
      <c r="H16" s="8"/>
    </row>
    <row r="18" spans="2:8" ht="27.75" customHeight="1" x14ac:dyDescent="0.35">
      <c r="B18" s="9" t="s">
        <v>14</v>
      </c>
      <c r="D18" s="9" t="s">
        <v>15</v>
      </c>
      <c r="F18" s="9" t="s">
        <v>16</v>
      </c>
      <c r="H18" s="9" t="s">
        <v>17</v>
      </c>
    </row>
    <row r="19" spans="2:8" ht="21.75" customHeight="1" x14ac:dyDescent="0.45">
      <c r="B19" s="10">
        <f>INDEX('Customer Metrics'!$C$10:$N$10,MATCH($D$5,'MRR-ARR'!$C$5:$N$5,0))</f>
        <v>30555.555555555555</v>
      </c>
      <c r="D19" s="10">
        <f>INDEX('Customer Metrics'!$C$15:$N$15,MATCH($D$5,'MRR-ARR'!$C$5:$N$5,0))</f>
        <v>187333.33333333331</v>
      </c>
      <c r="F19" s="12">
        <f>INDEX('Customer Metrics'!$C$16:$N$16,MATCH($D$5,'MRR-ARR'!$C$5:$N$5,0))</f>
        <v>6.1309090909090909</v>
      </c>
      <c r="H19" s="11">
        <f>INDEX('Customer Metrics'!$C$19:$N$19,MATCH($D$5,'MRR-ARR'!$C$5:$N$5,0))</f>
        <v>2.1352313167259787E-2</v>
      </c>
    </row>
    <row r="21" spans="2:8" ht="27.75" customHeight="1" x14ac:dyDescent="0.35">
      <c r="B21" s="9" t="s">
        <v>18</v>
      </c>
      <c r="D21" s="9" t="s">
        <v>19</v>
      </c>
    </row>
    <row r="22" spans="2:8" ht="21.75" customHeight="1" x14ac:dyDescent="0.45">
      <c r="B22" s="11">
        <f>INDEX('Customer Metrics'!$C$20:$N$20,MATCH($D$5,'MRR-ARR'!$C$5:$N$5,0))</f>
        <v>1.0418118466898953</v>
      </c>
      <c r="D22" s="13">
        <f>INDEX('Customer Metrics'!$C$21:$N$21,MATCH($D$5,'MRR-ARR'!$C$5:$N$5,0))</f>
        <v>53</v>
      </c>
    </row>
    <row r="25" spans="2:8" ht="18" customHeight="1" x14ac:dyDescent="0.35">
      <c r="B25" s="7" t="s">
        <v>20</v>
      </c>
      <c r="C25" s="8"/>
      <c r="D25" s="8"/>
      <c r="E25" s="8"/>
      <c r="F25" s="8"/>
      <c r="G25" s="8"/>
      <c r="H25" s="8"/>
    </row>
    <row r="27" spans="2:8" ht="27.75" customHeight="1" x14ac:dyDescent="0.35">
      <c r="B27" s="9" t="s">
        <v>21</v>
      </c>
      <c r="D27" s="9" t="s">
        <v>22</v>
      </c>
      <c r="F27" s="9" t="s">
        <v>23</v>
      </c>
      <c r="H27" s="9" t="s">
        <v>24</v>
      </c>
    </row>
    <row r="28" spans="2:8" ht="21.75" customHeight="1" x14ac:dyDescent="0.45">
      <c r="B28" s="10">
        <f>INDEX('Burn-Runway'!$C$9:$N$9,MATCH($D$5,'MRR-ARR'!$C$5:$N$5,0))</f>
        <v>782454</v>
      </c>
      <c r="D28" s="10">
        <f>INDEX('Burn-Runway'!$C$12:$N$12,MATCH($D$5,'MRR-ARR'!$C$5:$N$5,0))</f>
        <v>17300077</v>
      </c>
      <c r="F28" s="14">
        <f>INDEX('Burn-Runway'!$C$16:$N$16,MATCH($D$5,'MRR-ARR'!$C$5:$N$5,0))</f>
        <v>24.986991897317882</v>
      </c>
      <c r="H28" s="12">
        <f>INDEX('Burn-Runway'!$C$17:$N$17,MATCH($D$5,'MRR-ARR'!$C$5:$N$5,0))</f>
        <v>4.0463624036960848E-2</v>
      </c>
    </row>
    <row r="31" spans="2:8" ht="18" customHeight="1" x14ac:dyDescent="0.35">
      <c r="B31" s="7" t="s">
        <v>25</v>
      </c>
      <c r="C31" s="8"/>
      <c r="D31" s="8"/>
      <c r="E31" s="8"/>
      <c r="F31" s="8"/>
      <c r="G31" s="8"/>
      <c r="H31" s="8"/>
    </row>
    <row r="33" spans="2:6" ht="27.75" customHeight="1" x14ac:dyDescent="0.35">
      <c r="B33" s="9" t="s">
        <v>26</v>
      </c>
      <c r="D33" s="9" t="s">
        <v>27</v>
      </c>
      <c r="F33" s="9" t="s">
        <v>28</v>
      </c>
    </row>
    <row r="34" spans="2:6" ht="21.75" customHeight="1" x14ac:dyDescent="0.45">
      <c r="B34" s="13">
        <f>INDEX('Team-Ops'!$C$7:$N$7,MATCH($D$5,'MRR-ARR'!$C$5:$N$5,0))</f>
        <v>15</v>
      </c>
      <c r="D34" s="11">
        <f>INDEX('Team-Ops'!$C$9:$N$9,MATCH($D$5,'MRR-ARR'!$C$5:$N$5,0))</f>
        <v>0</v>
      </c>
      <c r="F34" s="10">
        <f>INDEX('Team-Ops'!$C$12:$N$12,MATCH($D$5,'MRR-ARR'!$C$5:$N$5,0))</f>
        <v>102000</v>
      </c>
    </row>
    <row r="37" spans="2:6" x14ac:dyDescent="0.35">
      <c r="B37" s="15" t="s">
        <v>29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24"/>
  <sheetViews>
    <sheetView zoomScaleNormal="100" workbookViewId="0"/>
  </sheetViews>
  <sheetFormatPr defaultColWidth="8.6328125" defaultRowHeight="14.5" x14ac:dyDescent="0.35"/>
  <cols>
    <col min="1" max="1" width="4" customWidth="1"/>
    <col min="2" max="2" width="40" customWidth="1"/>
    <col min="3" max="3" width="70" customWidth="1"/>
  </cols>
  <sheetData>
    <row r="2" spans="2:3" ht="21" x14ac:dyDescent="0.5">
      <c r="B2" s="16" t="s">
        <v>30</v>
      </c>
    </row>
    <row r="3" spans="2:3" x14ac:dyDescent="0.35">
      <c r="B3" s="4" t="s">
        <v>31</v>
      </c>
    </row>
    <row r="5" spans="2:3" ht="15.75" customHeight="1" x14ac:dyDescent="0.35">
      <c r="B5" s="2" t="s">
        <v>32</v>
      </c>
      <c r="C5" s="2"/>
    </row>
    <row r="6" spans="2:3" ht="15.75" customHeight="1" x14ac:dyDescent="0.35">
      <c r="B6" s="1" t="s">
        <v>33</v>
      </c>
      <c r="C6" s="1"/>
    </row>
    <row r="7" spans="2:3" ht="15.75" customHeight="1" x14ac:dyDescent="0.35">
      <c r="B7" s="1" t="s">
        <v>34</v>
      </c>
      <c r="C7" s="1"/>
    </row>
    <row r="8" spans="2:3" ht="15.75" customHeight="1" x14ac:dyDescent="0.35">
      <c r="B8" s="1" t="s">
        <v>35</v>
      </c>
      <c r="C8" s="1"/>
    </row>
    <row r="9" spans="2:3" ht="15.75" customHeight="1" x14ac:dyDescent="0.35">
      <c r="B9" s="1" t="s">
        <v>36</v>
      </c>
      <c r="C9" s="1"/>
    </row>
    <row r="10" spans="2:3" ht="15.75" customHeight="1" x14ac:dyDescent="0.35">
      <c r="B10" s="1" t="s">
        <v>37</v>
      </c>
      <c r="C10" s="1"/>
    </row>
    <row r="11" spans="2:3" ht="15.75" customHeight="1" x14ac:dyDescent="0.35">
      <c r="B11" s="1"/>
      <c r="C11" s="1"/>
    </row>
    <row r="12" spans="2:3" ht="15.75" customHeight="1" x14ac:dyDescent="0.35">
      <c r="B12" s="2" t="s">
        <v>38</v>
      </c>
      <c r="C12" s="2"/>
    </row>
    <row r="13" spans="2:3" ht="15.75" customHeight="1" x14ac:dyDescent="0.35">
      <c r="B13" s="1" t="s">
        <v>39</v>
      </c>
      <c r="C13" s="1"/>
    </row>
    <row r="14" spans="2:3" ht="15.75" customHeight="1" x14ac:dyDescent="0.35">
      <c r="B14" s="1" t="s">
        <v>40</v>
      </c>
      <c r="C14" s="1"/>
    </row>
    <row r="15" spans="2:3" ht="15.75" customHeight="1" x14ac:dyDescent="0.35">
      <c r="B15" s="1" t="s">
        <v>41</v>
      </c>
      <c r="C15" s="1"/>
    </row>
    <row r="16" spans="2:3" ht="15.75" customHeight="1" x14ac:dyDescent="0.35">
      <c r="B16" s="1" t="s">
        <v>42</v>
      </c>
      <c r="C16" s="1"/>
    </row>
    <row r="17" spans="2:3" ht="15.75" customHeight="1" x14ac:dyDescent="0.35">
      <c r="B17" s="1"/>
      <c r="C17" s="1"/>
    </row>
    <row r="18" spans="2:3" ht="15.75" customHeight="1" x14ac:dyDescent="0.35">
      <c r="B18" s="2" t="s">
        <v>43</v>
      </c>
      <c r="C18" s="2"/>
    </row>
    <row r="19" spans="2:3" ht="15.75" customHeight="1" x14ac:dyDescent="0.35">
      <c r="B19" s="1" t="s">
        <v>44</v>
      </c>
      <c r="C19" s="1"/>
    </row>
    <row r="20" spans="2:3" ht="15.75" customHeight="1" x14ac:dyDescent="0.35">
      <c r="B20" s="1" t="s">
        <v>45</v>
      </c>
      <c r="C20" s="1"/>
    </row>
    <row r="21" spans="2:3" ht="15.75" customHeight="1" x14ac:dyDescent="0.35">
      <c r="B21" s="1" t="s">
        <v>46</v>
      </c>
      <c r="C21" s="1"/>
    </row>
    <row r="22" spans="2:3" ht="15.75" customHeight="1" x14ac:dyDescent="0.35">
      <c r="B22" s="1" t="s">
        <v>47</v>
      </c>
      <c r="C22" s="1"/>
    </row>
    <row r="23" spans="2:3" ht="15.75" customHeight="1" x14ac:dyDescent="0.35">
      <c r="B23" s="1" t="s">
        <v>48</v>
      </c>
      <c r="C23" s="1"/>
    </row>
    <row r="24" spans="2:3" ht="15.75" customHeight="1" x14ac:dyDescent="0.35">
      <c r="B24" s="1" t="s">
        <v>49</v>
      </c>
      <c r="C24" s="1"/>
    </row>
  </sheetData>
  <mergeCells count="20">
    <mergeCell ref="B20:C20"/>
    <mergeCell ref="B21:C21"/>
    <mergeCell ref="B22:C22"/>
    <mergeCell ref="B23:C23"/>
    <mergeCell ref="B24:C24"/>
    <mergeCell ref="B15:C15"/>
    <mergeCell ref="B16:C16"/>
    <mergeCell ref="B17:C17"/>
    <mergeCell ref="B18:C18"/>
    <mergeCell ref="B19:C19"/>
    <mergeCell ref="B10:C10"/>
    <mergeCell ref="B11:C11"/>
    <mergeCell ref="B12:C12"/>
    <mergeCell ref="B13:C13"/>
    <mergeCell ref="B14:C14"/>
    <mergeCell ref="B5:C5"/>
    <mergeCell ref="B6:C6"/>
    <mergeCell ref="B7:C7"/>
    <mergeCell ref="B8:C8"/>
    <mergeCell ref="B9:C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N36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B15" sqref="B15"/>
    </sheetView>
  </sheetViews>
  <sheetFormatPr defaultColWidth="8.6328125" defaultRowHeight="14.5" x14ac:dyDescent="0.35"/>
  <cols>
    <col min="1" max="1" width="3" customWidth="1"/>
    <col min="2" max="2" width="49.08984375" customWidth="1"/>
    <col min="3" max="14" width="11" customWidth="1"/>
  </cols>
  <sheetData>
    <row r="2" spans="2:14" ht="21" x14ac:dyDescent="0.5">
      <c r="B2" s="16" t="s">
        <v>50</v>
      </c>
    </row>
    <row r="3" spans="2:14" x14ac:dyDescent="0.35">
      <c r="B3" s="4" t="s">
        <v>51</v>
      </c>
    </row>
    <row r="5" spans="2:14" ht="19.5" customHeight="1" x14ac:dyDescent="0.35">
      <c r="B5" s="17" t="s">
        <v>52</v>
      </c>
      <c r="C5" s="17" t="s">
        <v>53</v>
      </c>
      <c r="D5" s="17" t="s">
        <v>54</v>
      </c>
      <c r="E5" s="17" t="s">
        <v>55</v>
      </c>
      <c r="F5" s="17" t="s">
        <v>56</v>
      </c>
      <c r="G5" s="17" t="s">
        <v>57</v>
      </c>
      <c r="H5" s="17" t="s">
        <v>3</v>
      </c>
      <c r="I5" s="17" t="s">
        <v>58</v>
      </c>
      <c r="J5" s="17" t="s">
        <v>59</v>
      </c>
      <c r="K5" s="17" t="s">
        <v>60</v>
      </c>
      <c r="L5" s="17" t="s">
        <v>61</v>
      </c>
      <c r="M5" s="17" t="s">
        <v>62</v>
      </c>
      <c r="N5" s="17" t="s">
        <v>63</v>
      </c>
    </row>
    <row r="6" spans="2:14" ht="18" customHeight="1" x14ac:dyDescent="0.35">
      <c r="B6" s="7" t="s">
        <v>64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</row>
    <row r="7" spans="2:14" x14ac:dyDescent="0.35">
      <c r="B7" s="19" t="s">
        <v>65</v>
      </c>
      <c r="C7" s="20">
        <v>260</v>
      </c>
      <c r="D7" s="20">
        <v>266</v>
      </c>
      <c r="E7" s="20">
        <v>273</v>
      </c>
      <c r="F7" s="20">
        <v>280</v>
      </c>
      <c r="G7" s="20">
        <v>287</v>
      </c>
      <c r="H7" s="20">
        <v>294</v>
      </c>
      <c r="I7" s="20">
        <v>302</v>
      </c>
      <c r="J7" s="20">
        <v>309</v>
      </c>
      <c r="K7" s="20">
        <v>317</v>
      </c>
      <c r="L7" s="20">
        <v>325</v>
      </c>
      <c r="M7" s="20">
        <v>333</v>
      </c>
      <c r="N7" s="20">
        <v>341</v>
      </c>
    </row>
    <row r="8" spans="2:14" x14ac:dyDescent="0.35">
      <c r="B8" s="19" t="s">
        <v>146</v>
      </c>
      <c r="C8" s="20">
        <v>5000</v>
      </c>
      <c r="D8" s="20">
        <v>5000</v>
      </c>
      <c r="E8" s="20">
        <v>5000</v>
      </c>
      <c r="F8" s="20">
        <v>5000</v>
      </c>
      <c r="G8" s="20">
        <v>5000</v>
      </c>
      <c r="H8" s="20">
        <v>5000</v>
      </c>
      <c r="I8" s="20">
        <v>5000</v>
      </c>
      <c r="J8" s="20">
        <v>5000</v>
      </c>
      <c r="K8" s="20">
        <v>5000</v>
      </c>
      <c r="L8" s="20">
        <v>5000</v>
      </c>
      <c r="M8" s="20">
        <v>5000</v>
      </c>
      <c r="N8" s="20">
        <v>5000</v>
      </c>
    </row>
    <row r="9" spans="2:14" x14ac:dyDescent="0.35">
      <c r="B9" s="34" t="s">
        <v>66</v>
      </c>
      <c r="C9" s="20">
        <f>C7*C8</f>
        <v>1300000</v>
      </c>
      <c r="D9" s="20">
        <f t="shared" ref="D9:N9" si="0">D7*D8</f>
        <v>1330000</v>
      </c>
      <c r="E9" s="20">
        <f t="shared" si="0"/>
        <v>1365000</v>
      </c>
      <c r="F9" s="20">
        <f t="shared" si="0"/>
        <v>1400000</v>
      </c>
      <c r="G9" s="20">
        <f t="shared" si="0"/>
        <v>1435000</v>
      </c>
      <c r="H9" s="20">
        <f t="shared" si="0"/>
        <v>1470000</v>
      </c>
      <c r="I9" s="20">
        <f t="shared" si="0"/>
        <v>1510000</v>
      </c>
      <c r="J9" s="20">
        <f t="shared" si="0"/>
        <v>1545000</v>
      </c>
      <c r="K9" s="20">
        <f t="shared" si="0"/>
        <v>1585000</v>
      </c>
      <c r="L9" s="20">
        <f t="shared" si="0"/>
        <v>1625000</v>
      </c>
      <c r="M9" s="20">
        <f t="shared" si="0"/>
        <v>1665000</v>
      </c>
      <c r="N9" s="20">
        <f t="shared" si="0"/>
        <v>1705000</v>
      </c>
    </row>
    <row r="10" spans="2:14" x14ac:dyDescent="0.35">
      <c r="B10" s="19" t="s">
        <v>67</v>
      </c>
      <c r="C10" s="20">
        <v>16</v>
      </c>
      <c r="D10" s="20">
        <v>16</v>
      </c>
      <c r="E10" s="20">
        <v>16</v>
      </c>
      <c r="F10" s="20">
        <v>17</v>
      </c>
      <c r="G10" s="20">
        <v>17</v>
      </c>
      <c r="H10" s="20">
        <v>18</v>
      </c>
      <c r="I10" s="20">
        <v>18</v>
      </c>
      <c r="J10" s="20">
        <v>19</v>
      </c>
      <c r="K10" s="20">
        <v>19</v>
      </c>
      <c r="L10" s="20">
        <v>20</v>
      </c>
      <c r="M10" s="20">
        <v>20</v>
      </c>
      <c r="N10" s="20">
        <v>20</v>
      </c>
    </row>
    <row r="11" spans="2:14" x14ac:dyDescent="0.35">
      <c r="B11" s="34" t="s">
        <v>68</v>
      </c>
      <c r="C11" s="20">
        <f>C9+C10*C8</f>
        <v>1380000</v>
      </c>
      <c r="D11" s="20">
        <f t="shared" ref="D11:N11" si="1">D9+D10*D8</f>
        <v>1410000</v>
      </c>
      <c r="E11" s="20">
        <f t="shared" si="1"/>
        <v>1445000</v>
      </c>
      <c r="F11" s="20">
        <f t="shared" si="1"/>
        <v>1485000</v>
      </c>
      <c r="G11" s="20">
        <f t="shared" si="1"/>
        <v>1520000</v>
      </c>
      <c r="H11" s="20">
        <f t="shared" si="1"/>
        <v>1560000</v>
      </c>
      <c r="I11" s="20">
        <f t="shared" si="1"/>
        <v>1600000</v>
      </c>
      <c r="J11" s="20">
        <f t="shared" si="1"/>
        <v>1640000</v>
      </c>
      <c r="K11" s="20">
        <f t="shared" si="1"/>
        <v>1680000</v>
      </c>
      <c r="L11" s="20">
        <f t="shared" si="1"/>
        <v>1725000</v>
      </c>
      <c r="M11" s="20">
        <f t="shared" si="1"/>
        <v>1765000</v>
      </c>
      <c r="N11" s="20">
        <f t="shared" si="1"/>
        <v>1805000</v>
      </c>
    </row>
    <row r="12" spans="2:14" x14ac:dyDescent="0.35">
      <c r="B12" s="34" t="s">
        <v>69</v>
      </c>
      <c r="C12" s="20">
        <f>C11-C9</f>
        <v>80000</v>
      </c>
      <c r="D12" s="20">
        <f t="shared" ref="D12:N12" si="2">D11-D9</f>
        <v>80000</v>
      </c>
      <c r="E12" s="20">
        <f t="shared" si="2"/>
        <v>80000</v>
      </c>
      <c r="F12" s="20">
        <f t="shared" si="2"/>
        <v>85000</v>
      </c>
      <c r="G12" s="20">
        <f t="shared" si="2"/>
        <v>85000</v>
      </c>
      <c r="H12" s="20">
        <f t="shared" si="2"/>
        <v>90000</v>
      </c>
      <c r="I12" s="20">
        <f t="shared" si="2"/>
        <v>90000</v>
      </c>
      <c r="J12" s="20">
        <f t="shared" si="2"/>
        <v>95000</v>
      </c>
      <c r="K12" s="20">
        <f t="shared" si="2"/>
        <v>95000</v>
      </c>
      <c r="L12" s="20">
        <f t="shared" si="2"/>
        <v>100000</v>
      </c>
      <c r="M12" s="20">
        <f t="shared" si="2"/>
        <v>100000</v>
      </c>
      <c r="N12" s="20">
        <f t="shared" si="2"/>
        <v>100000</v>
      </c>
    </row>
    <row r="13" spans="2:14" x14ac:dyDescent="0.35">
      <c r="B13" s="34" t="s">
        <v>70</v>
      </c>
      <c r="C13" s="20">
        <v>6400</v>
      </c>
      <c r="D13" s="20">
        <v>6784</v>
      </c>
      <c r="E13" s="20">
        <v>7191</v>
      </c>
      <c r="F13" s="20">
        <v>7622</v>
      </c>
      <c r="G13" s="20">
        <v>8080</v>
      </c>
      <c r="H13" s="20">
        <v>8565</v>
      </c>
      <c r="I13" s="20">
        <v>9079</v>
      </c>
      <c r="J13" s="20">
        <v>9623</v>
      </c>
      <c r="K13" s="20">
        <v>10201</v>
      </c>
      <c r="L13" s="20">
        <v>10813</v>
      </c>
      <c r="M13" s="20">
        <v>11461</v>
      </c>
      <c r="N13" s="20">
        <v>12149</v>
      </c>
    </row>
    <row r="14" spans="2:14" x14ac:dyDescent="0.35">
      <c r="B14" s="19" t="s">
        <v>71</v>
      </c>
      <c r="C14" s="20">
        <v>5</v>
      </c>
      <c r="D14" s="20">
        <v>5</v>
      </c>
      <c r="E14" s="20">
        <v>5</v>
      </c>
      <c r="F14" s="20">
        <v>6</v>
      </c>
      <c r="G14" s="20">
        <v>6</v>
      </c>
      <c r="H14" s="20">
        <v>6</v>
      </c>
      <c r="I14" s="20">
        <v>6</v>
      </c>
      <c r="J14" s="20">
        <v>6</v>
      </c>
      <c r="K14" s="20">
        <v>6</v>
      </c>
      <c r="L14" s="20">
        <v>6</v>
      </c>
      <c r="M14" s="20">
        <v>7</v>
      </c>
      <c r="N14" s="20">
        <v>7</v>
      </c>
    </row>
    <row r="15" spans="2:14" x14ac:dyDescent="0.35">
      <c r="B15" s="34" t="s">
        <v>72</v>
      </c>
      <c r="C15" s="20">
        <f>C8*C14</f>
        <v>25000</v>
      </c>
      <c r="D15" s="20">
        <f t="shared" ref="D15:N15" si="3">D8*D14</f>
        <v>25000</v>
      </c>
      <c r="E15" s="20">
        <f t="shared" si="3"/>
        <v>25000</v>
      </c>
      <c r="F15" s="20">
        <f t="shared" si="3"/>
        <v>30000</v>
      </c>
      <c r="G15" s="20">
        <f t="shared" si="3"/>
        <v>30000</v>
      </c>
      <c r="H15" s="20">
        <f t="shared" si="3"/>
        <v>30000</v>
      </c>
      <c r="I15" s="20">
        <f t="shared" si="3"/>
        <v>30000</v>
      </c>
      <c r="J15" s="20">
        <f t="shared" si="3"/>
        <v>30000</v>
      </c>
      <c r="K15" s="20">
        <f t="shared" si="3"/>
        <v>30000</v>
      </c>
      <c r="L15" s="20">
        <f t="shared" si="3"/>
        <v>30000</v>
      </c>
      <c r="M15" s="20">
        <f t="shared" si="3"/>
        <v>35000</v>
      </c>
      <c r="N15" s="20">
        <f t="shared" si="3"/>
        <v>35000</v>
      </c>
    </row>
    <row r="17" spans="2:14" ht="18" customHeight="1" x14ac:dyDescent="0.35">
      <c r="B17" s="7" t="s">
        <v>73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</row>
    <row r="18" spans="2:14" x14ac:dyDescent="0.35">
      <c r="B18" s="19" t="s">
        <v>74</v>
      </c>
      <c r="C18" s="20">
        <f>C11-C15</f>
        <v>1355000</v>
      </c>
      <c r="D18" s="20">
        <f t="shared" ref="D18:N18" si="4">D11-D15</f>
        <v>1385000</v>
      </c>
      <c r="E18" s="20">
        <f t="shared" si="4"/>
        <v>1420000</v>
      </c>
      <c r="F18" s="20">
        <f t="shared" si="4"/>
        <v>1455000</v>
      </c>
      <c r="G18" s="20">
        <f t="shared" si="4"/>
        <v>1490000</v>
      </c>
      <c r="H18" s="20">
        <f t="shared" si="4"/>
        <v>1530000</v>
      </c>
      <c r="I18" s="20">
        <f t="shared" si="4"/>
        <v>1570000</v>
      </c>
      <c r="J18" s="20">
        <f t="shared" si="4"/>
        <v>1610000</v>
      </c>
      <c r="K18" s="20">
        <f t="shared" si="4"/>
        <v>1650000</v>
      </c>
      <c r="L18" s="20">
        <f t="shared" si="4"/>
        <v>1695000</v>
      </c>
      <c r="M18" s="20">
        <f t="shared" si="4"/>
        <v>1730000</v>
      </c>
      <c r="N18" s="20">
        <f t="shared" si="4"/>
        <v>1770000</v>
      </c>
    </row>
    <row r="19" spans="2:14" x14ac:dyDescent="0.35">
      <c r="B19" s="19" t="s">
        <v>75</v>
      </c>
      <c r="C19" s="20">
        <v>1728000</v>
      </c>
      <c r="D19" s="20">
        <v>1831680</v>
      </c>
      <c r="E19" s="20">
        <v>1941581</v>
      </c>
      <c r="F19" s="20">
        <v>2058075</v>
      </c>
      <c r="G19" s="20">
        <v>2181561</v>
      </c>
      <c r="H19" s="20">
        <v>2312454</v>
      </c>
      <c r="I19" s="20">
        <v>2451200</v>
      </c>
      <c r="J19" s="20">
        <v>2598273</v>
      </c>
      <c r="K19" s="20">
        <v>2754170</v>
      </c>
      <c r="L19" s="20">
        <v>2919420</v>
      </c>
      <c r="M19" s="20">
        <v>3094585</v>
      </c>
      <c r="N19" s="20">
        <v>3280260</v>
      </c>
    </row>
    <row r="20" spans="2:14" x14ac:dyDescent="0.35">
      <c r="B20" s="19" t="s">
        <v>76</v>
      </c>
      <c r="C20" s="20">
        <v>20539200</v>
      </c>
      <c r="D20" s="20">
        <v>20023104</v>
      </c>
      <c r="E20" s="20">
        <v>19446736</v>
      </c>
      <c r="F20" s="20">
        <v>18804720</v>
      </c>
      <c r="G20" s="20">
        <v>18091250</v>
      </c>
      <c r="H20" s="20">
        <v>17300077</v>
      </c>
      <c r="I20" s="20">
        <v>16424430</v>
      </c>
      <c r="J20" s="20">
        <v>15457022</v>
      </c>
      <c r="K20" s="20">
        <v>14389995</v>
      </c>
      <c r="L20" s="20">
        <v>13214874</v>
      </c>
      <c r="M20" s="20">
        <v>11922551</v>
      </c>
      <c r="N20" s="20">
        <v>10503167</v>
      </c>
    </row>
    <row r="22" spans="2:14" ht="18" customHeight="1" x14ac:dyDescent="0.35">
      <c r="B22" s="7" t="s">
        <v>77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</row>
    <row r="23" spans="2:14" x14ac:dyDescent="0.35">
      <c r="B23" s="19" t="s">
        <v>78</v>
      </c>
      <c r="C23" s="20">
        <v>260</v>
      </c>
      <c r="D23" s="20">
        <v>266</v>
      </c>
      <c r="E23" s="20">
        <f>E7-E14</f>
        <v>268</v>
      </c>
      <c r="F23" s="20">
        <f t="shared" ref="F23:N23" si="5">F7-F14</f>
        <v>274</v>
      </c>
      <c r="G23" s="20">
        <f t="shared" si="5"/>
        <v>281</v>
      </c>
      <c r="H23" s="20">
        <f t="shared" si="5"/>
        <v>288</v>
      </c>
      <c r="I23" s="20">
        <f t="shared" si="5"/>
        <v>296</v>
      </c>
      <c r="J23" s="20">
        <f t="shared" si="5"/>
        <v>303</v>
      </c>
      <c r="K23" s="20">
        <f t="shared" si="5"/>
        <v>311</v>
      </c>
      <c r="L23" s="20">
        <f t="shared" si="5"/>
        <v>319</v>
      </c>
      <c r="M23" s="20">
        <f t="shared" si="5"/>
        <v>326</v>
      </c>
      <c r="N23" s="20">
        <f t="shared" si="5"/>
        <v>334</v>
      </c>
    </row>
    <row r="24" spans="2:14" x14ac:dyDescent="0.35">
      <c r="B24" s="19" t="s">
        <v>79</v>
      </c>
      <c r="C24" s="20">
        <v>16</v>
      </c>
      <c r="D24" s="20">
        <v>16</v>
      </c>
      <c r="E24" s="20">
        <f>E10</f>
        <v>16</v>
      </c>
      <c r="F24" s="20">
        <f t="shared" ref="F24:N24" si="6">F10</f>
        <v>17</v>
      </c>
      <c r="G24" s="20">
        <f t="shared" si="6"/>
        <v>17</v>
      </c>
      <c r="H24" s="20">
        <f t="shared" si="6"/>
        <v>18</v>
      </c>
      <c r="I24" s="20">
        <f t="shared" si="6"/>
        <v>18</v>
      </c>
      <c r="J24" s="20">
        <f t="shared" si="6"/>
        <v>19</v>
      </c>
      <c r="K24" s="20">
        <f t="shared" si="6"/>
        <v>19</v>
      </c>
      <c r="L24" s="20">
        <f t="shared" si="6"/>
        <v>20</v>
      </c>
      <c r="M24" s="20">
        <f t="shared" si="6"/>
        <v>20</v>
      </c>
      <c r="N24" s="20">
        <f t="shared" si="6"/>
        <v>20</v>
      </c>
    </row>
    <row r="25" spans="2:14" x14ac:dyDescent="0.35">
      <c r="B25" s="19" t="s">
        <v>80</v>
      </c>
      <c r="C25" s="20">
        <v>5</v>
      </c>
      <c r="D25" s="20">
        <v>5</v>
      </c>
      <c r="E25" s="20">
        <f>E14</f>
        <v>5</v>
      </c>
      <c r="F25" s="20">
        <f t="shared" ref="F25:N25" si="7">F14</f>
        <v>6</v>
      </c>
      <c r="G25" s="20">
        <f t="shared" si="7"/>
        <v>6</v>
      </c>
      <c r="H25" s="20">
        <f t="shared" si="7"/>
        <v>6</v>
      </c>
      <c r="I25" s="20">
        <f t="shared" si="7"/>
        <v>6</v>
      </c>
      <c r="J25" s="20">
        <f t="shared" si="7"/>
        <v>6</v>
      </c>
      <c r="K25" s="20">
        <f t="shared" si="7"/>
        <v>6</v>
      </c>
      <c r="L25" s="20">
        <f t="shared" si="7"/>
        <v>6</v>
      </c>
      <c r="M25" s="20">
        <f t="shared" si="7"/>
        <v>7</v>
      </c>
      <c r="N25" s="20">
        <f t="shared" si="7"/>
        <v>7</v>
      </c>
    </row>
    <row r="26" spans="2:14" x14ac:dyDescent="0.35">
      <c r="B26" s="19" t="s">
        <v>81</v>
      </c>
      <c r="C26" s="20">
        <v>448000</v>
      </c>
      <c r="D26" s="20">
        <v>448000</v>
      </c>
      <c r="E26" s="20">
        <v>500000</v>
      </c>
      <c r="F26" s="20">
        <v>550000</v>
      </c>
      <c r="G26" s="20">
        <v>550000</v>
      </c>
      <c r="H26" s="20">
        <v>550000</v>
      </c>
      <c r="I26" s="20">
        <v>550000</v>
      </c>
      <c r="J26" s="20">
        <v>550000</v>
      </c>
      <c r="K26" s="20">
        <v>550000</v>
      </c>
      <c r="L26" s="20">
        <v>550000</v>
      </c>
      <c r="M26" s="20">
        <v>550000</v>
      </c>
      <c r="N26" s="20">
        <v>550000</v>
      </c>
    </row>
    <row r="27" spans="2:14" x14ac:dyDescent="0.35">
      <c r="B27" s="19" t="s">
        <v>82</v>
      </c>
      <c r="C27" s="20">
        <v>176</v>
      </c>
      <c r="D27" s="20">
        <v>176</v>
      </c>
      <c r="E27" s="20">
        <v>20</v>
      </c>
      <c r="F27" s="20">
        <v>30</v>
      </c>
      <c r="G27" s="20">
        <v>30</v>
      </c>
      <c r="H27" s="20">
        <v>40</v>
      </c>
      <c r="I27" s="20">
        <v>10</v>
      </c>
      <c r="J27" s="20">
        <v>20</v>
      </c>
      <c r="K27" s="20">
        <v>30</v>
      </c>
      <c r="L27" s="20">
        <v>40</v>
      </c>
      <c r="M27" s="20">
        <v>10</v>
      </c>
      <c r="N27" s="20">
        <v>20</v>
      </c>
    </row>
    <row r="28" spans="2:14" x14ac:dyDescent="0.35">
      <c r="B28" s="19" t="s">
        <v>83</v>
      </c>
      <c r="C28" s="20">
        <v>109</v>
      </c>
      <c r="D28" s="20">
        <v>109</v>
      </c>
      <c r="E28" s="20">
        <v>5</v>
      </c>
      <c r="F28" s="20">
        <v>10</v>
      </c>
      <c r="G28" s="20">
        <v>15</v>
      </c>
      <c r="H28" s="20">
        <v>20</v>
      </c>
      <c r="I28" s="20">
        <v>10</v>
      </c>
      <c r="J28" s="20">
        <v>15</v>
      </c>
      <c r="K28" s="20">
        <v>10</v>
      </c>
      <c r="L28" s="20">
        <v>10</v>
      </c>
      <c r="M28" s="20">
        <v>10</v>
      </c>
      <c r="N28" s="20">
        <v>10</v>
      </c>
    </row>
    <row r="29" spans="2:14" x14ac:dyDescent="0.35">
      <c r="B29" s="19" t="s">
        <v>84</v>
      </c>
      <c r="C29" s="20">
        <v>59</v>
      </c>
      <c r="D29" s="20">
        <v>59</v>
      </c>
      <c r="E29" s="20">
        <v>5</v>
      </c>
      <c r="F29" s="20">
        <v>10</v>
      </c>
      <c r="G29" s="20">
        <v>15</v>
      </c>
      <c r="H29" s="20">
        <v>20</v>
      </c>
      <c r="I29" s="20">
        <v>10</v>
      </c>
      <c r="J29" s="20">
        <v>0</v>
      </c>
      <c r="K29" s="20">
        <v>10</v>
      </c>
      <c r="L29" s="20">
        <v>0</v>
      </c>
      <c r="M29" s="20">
        <v>10</v>
      </c>
      <c r="N29" s="20">
        <v>10</v>
      </c>
    </row>
    <row r="30" spans="2:14" x14ac:dyDescent="0.35">
      <c r="B30" s="19" t="s">
        <v>85</v>
      </c>
      <c r="C30" s="20">
        <v>16</v>
      </c>
      <c r="D30" s="20">
        <v>16</v>
      </c>
      <c r="E30" s="20">
        <v>5</v>
      </c>
      <c r="F30" s="20">
        <v>10</v>
      </c>
      <c r="G30" s="20">
        <v>15</v>
      </c>
      <c r="H30" s="20">
        <v>20</v>
      </c>
      <c r="I30" s="20">
        <v>10</v>
      </c>
      <c r="J30" s="20">
        <v>0</v>
      </c>
      <c r="K30" s="20">
        <v>10</v>
      </c>
      <c r="L30" s="20">
        <v>0</v>
      </c>
      <c r="M30" s="20">
        <v>10</v>
      </c>
      <c r="N30" s="20">
        <v>10</v>
      </c>
    </row>
    <row r="31" spans="2:14" x14ac:dyDescent="0.35">
      <c r="B31" s="19" t="s">
        <v>86</v>
      </c>
      <c r="C31" s="20">
        <v>52</v>
      </c>
      <c r="D31" s="20">
        <v>53</v>
      </c>
      <c r="E31" s="20">
        <v>54</v>
      </c>
      <c r="F31" s="20">
        <v>55</v>
      </c>
      <c r="G31" s="20">
        <v>52</v>
      </c>
      <c r="H31" s="20">
        <v>53</v>
      </c>
      <c r="I31" s="20">
        <v>54</v>
      </c>
      <c r="J31" s="20">
        <v>55</v>
      </c>
      <c r="K31" s="20">
        <v>52</v>
      </c>
      <c r="L31" s="20">
        <v>53</v>
      </c>
      <c r="M31" s="20">
        <v>54</v>
      </c>
      <c r="N31" s="20">
        <v>55</v>
      </c>
    </row>
    <row r="33" spans="2:14" ht="18" customHeight="1" x14ac:dyDescent="0.35">
      <c r="B33" s="7" t="s">
        <v>87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</row>
    <row r="34" spans="2:14" x14ac:dyDescent="0.35">
      <c r="B34" s="19" t="s">
        <v>88</v>
      </c>
      <c r="C34" s="20">
        <v>36</v>
      </c>
      <c r="D34" s="20">
        <v>37</v>
      </c>
      <c r="E34" s="20">
        <v>10</v>
      </c>
      <c r="F34" s="20">
        <v>10</v>
      </c>
      <c r="G34" s="20">
        <v>15</v>
      </c>
      <c r="H34" s="20">
        <v>15</v>
      </c>
      <c r="I34" s="20">
        <v>15</v>
      </c>
      <c r="J34" s="20">
        <v>15</v>
      </c>
      <c r="K34" s="20">
        <v>15</v>
      </c>
      <c r="L34" s="20">
        <v>15</v>
      </c>
      <c r="M34" s="20">
        <v>15</v>
      </c>
      <c r="N34" s="20">
        <v>15</v>
      </c>
    </row>
    <row r="35" spans="2:14" x14ac:dyDescent="0.35">
      <c r="B35" s="19" t="s">
        <v>89</v>
      </c>
      <c r="C35" s="20">
        <v>1</v>
      </c>
      <c r="D35" s="20">
        <v>0</v>
      </c>
      <c r="E35" s="20">
        <v>0</v>
      </c>
      <c r="F35" s="20">
        <v>1</v>
      </c>
      <c r="G35" s="20">
        <v>0</v>
      </c>
      <c r="H35" s="20">
        <v>0</v>
      </c>
      <c r="I35" s="20">
        <v>1</v>
      </c>
      <c r="J35" s="20">
        <v>0</v>
      </c>
      <c r="K35" s="20">
        <v>0</v>
      </c>
      <c r="L35" s="20">
        <v>1</v>
      </c>
      <c r="M35" s="20">
        <v>0</v>
      </c>
      <c r="N35" s="20">
        <v>0</v>
      </c>
    </row>
    <row r="36" spans="2:14" x14ac:dyDescent="0.35">
      <c r="B36" s="19" t="s">
        <v>90</v>
      </c>
      <c r="C36" s="20">
        <v>5</v>
      </c>
      <c r="D36" s="20">
        <v>5</v>
      </c>
      <c r="E36" s="20">
        <v>5</v>
      </c>
      <c r="F36" s="20">
        <v>5</v>
      </c>
      <c r="G36" s="20">
        <v>5</v>
      </c>
      <c r="H36" s="20">
        <v>5</v>
      </c>
      <c r="I36" s="20">
        <v>4</v>
      </c>
      <c r="J36" s="20">
        <v>4</v>
      </c>
      <c r="K36" s="20">
        <v>4</v>
      </c>
      <c r="L36" s="20">
        <v>4</v>
      </c>
      <c r="M36" s="20">
        <v>4</v>
      </c>
      <c r="N36" s="20">
        <v>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N24"/>
  <sheetViews>
    <sheetView zoomScaleNormal="100" workbookViewId="0">
      <pane xSplit="2" ySplit="5" topLeftCell="C7" activePane="bottomRight" state="frozen"/>
      <selection pane="topRight" activeCell="C1" sqref="C1"/>
      <selection pane="bottomLeft" activeCell="A6" sqref="A6"/>
      <selection pane="bottomRight" activeCell="C21" sqref="C21"/>
    </sheetView>
  </sheetViews>
  <sheetFormatPr defaultColWidth="8.6328125" defaultRowHeight="14.5" x14ac:dyDescent="0.35"/>
  <cols>
    <col min="1" max="1" width="3" customWidth="1"/>
    <col min="2" max="2" width="49.36328125" customWidth="1"/>
    <col min="3" max="14" width="11.453125" bestFit="1" customWidth="1"/>
  </cols>
  <sheetData>
    <row r="2" spans="2:14" ht="21" x14ac:dyDescent="0.5">
      <c r="B2" s="16" t="s">
        <v>91</v>
      </c>
    </row>
    <row r="3" spans="2:14" x14ac:dyDescent="0.35">
      <c r="B3" s="4" t="s">
        <v>92</v>
      </c>
    </row>
    <row r="5" spans="2:14" ht="19.5" customHeight="1" x14ac:dyDescent="0.35">
      <c r="B5" s="17" t="s">
        <v>52</v>
      </c>
      <c r="C5" s="17" t="s">
        <v>53</v>
      </c>
      <c r="D5" s="17" t="s">
        <v>54</v>
      </c>
      <c r="E5" s="17" t="s">
        <v>55</v>
      </c>
      <c r="F5" s="17" t="s">
        <v>56</v>
      </c>
      <c r="G5" s="17" t="s">
        <v>57</v>
      </c>
      <c r="H5" s="17" t="s">
        <v>3</v>
      </c>
      <c r="I5" s="17" t="s">
        <v>58</v>
      </c>
      <c r="J5" s="17" t="s">
        <v>59</v>
      </c>
      <c r="K5" s="17" t="s">
        <v>60</v>
      </c>
      <c r="L5" s="17" t="s">
        <v>61</v>
      </c>
      <c r="M5" s="17" t="s">
        <v>62</v>
      </c>
      <c r="N5" s="17" t="s">
        <v>63</v>
      </c>
    </row>
    <row r="6" spans="2:14" ht="18" customHeight="1" x14ac:dyDescent="0.35">
      <c r="B6" s="7" t="s">
        <v>93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</row>
    <row r="7" spans="2:14" x14ac:dyDescent="0.35">
      <c r="B7" s="21" t="s">
        <v>94</v>
      </c>
      <c r="C7" s="22">
        <f>'Raw Data Input'!C9</f>
        <v>1300000</v>
      </c>
      <c r="D7" s="22">
        <f>'Raw Data Input'!D9</f>
        <v>1330000</v>
      </c>
      <c r="E7" s="22">
        <f>'Raw Data Input'!E9</f>
        <v>1365000</v>
      </c>
      <c r="F7" s="22">
        <f>'Raw Data Input'!F9</f>
        <v>1400000</v>
      </c>
      <c r="G7" s="22">
        <f>'Raw Data Input'!G9</f>
        <v>1435000</v>
      </c>
      <c r="H7" s="22">
        <f>'Raw Data Input'!H9</f>
        <v>1470000</v>
      </c>
      <c r="I7" s="22">
        <f>'Raw Data Input'!I9</f>
        <v>1510000</v>
      </c>
      <c r="J7" s="22">
        <f>'Raw Data Input'!J9</f>
        <v>1545000</v>
      </c>
      <c r="K7" s="22">
        <f>'Raw Data Input'!K9</f>
        <v>1585000</v>
      </c>
      <c r="L7" s="22">
        <f>'Raw Data Input'!L9</f>
        <v>1625000</v>
      </c>
      <c r="M7" s="22">
        <f>'Raw Data Input'!M9</f>
        <v>1665000</v>
      </c>
      <c r="N7" s="22">
        <f>'Raw Data Input'!N9</f>
        <v>1705000</v>
      </c>
    </row>
    <row r="8" spans="2:14" x14ac:dyDescent="0.35">
      <c r="B8" s="19" t="s">
        <v>95</v>
      </c>
      <c r="C8" s="23">
        <f>'Raw Data Input'!C11</f>
        <v>1380000</v>
      </c>
      <c r="D8" s="23">
        <f>'Raw Data Input'!D11</f>
        <v>1410000</v>
      </c>
      <c r="E8" s="23">
        <f>'Raw Data Input'!E11</f>
        <v>1445000</v>
      </c>
      <c r="F8" s="23">
        <f>'Raw Data Input'!F11</f>
        <v>1485000</v>
      </c>
      <c r="G8" s="23">
        <f>'Raw Data Input'!G11</f>
        <v>1520000</v>
      </c>
      <c r="H8" s="23">
        <f>'Raw Data Input'!H11</f>
        <v>1560000</v>
      </c>
      <c r="I8" s="23">
        <f>'Raw Data Input'!I11</f>
        <v>1600000</v>
      </c>
      <c r="J8" s="23">
        <f>'Raw Data Input'!J11</f>
        <v>1640000</v>
      </c>
      <c r="K8" s="23">
        <f>'Raw Data Input'!K11</f>
        <v>1680000</v>
      </c>
      <c r="L8" s="23">
        <f>'Raw Data Input'!L11</f>
        <v>1725000</v>
      </c>
      <c r="M8" s="23">
        <f>'Raw Data Input'!M11</f>
        <v>1765000</v>
      </c>
      <c r="N8" s="23">
        <f>'Raw Data Input'!N11</f>
        <v>1805000</v>
      </c>
    </row>
    <row r="9" spans="2:14" x14ac:dyDescent="0.35">
      <c r="B9" s="19" t="s">
        <v>96</v>
      </c>
      <c r="C9" s="23">
        <f>'Raw Data Input'!C12</f>
        <v>80000</v>
      </c>
      <c r="D9" s="23">
        <f>'Raw Data Input'!D12</f>
        <v>80000</v>
      </c>
      <c r="E9" s="23">
        <f>'Raw Data Input'!E12</f>
        <v>80000</v>
      </c>
      <c r="F9" s="23">
        <f>'Raw Data Input'!F12</f>
        <v>85000</v>
      </c>
      <c r="G9" s="23">
        <f>'Raw Data Input'!G12</f>
        <v>85000</v>
      </c>
      <c r="H9" s="23">
        <f>'Raw Data Input'!H12</f>
        <v>90000</v>
      </c>
      <c r="I9" s="23">
        <f>'Raw Data Input'!I12</f>
        <v>90000</v>
      </c>
      <c r="J9" s="23">
        <f>'Raw Data Input'!J12</f>
        <v>95000</v>
      </c>
      <c r="K9" s="23">
        <f>'Raw Data Input'!K12</f>
        <v>95000</v>
      </c>
      <c r="L9" s="23">
        <f>'Raw Data Input'!L12</f>
        <v>100000</v>
      </c>
      <c r="M9" s="23">
        <f>'Raw Data Input'!M12</f>
        <v>100000</v>
      </c>
      <c r="N9" s="23">
        <f>'Raw Data Input'!N12</f>
        <v>100000</v>
      </c>
    </row>
    <row r="10" spans="2:14" x14ac:dyDescent="0.35">
      <c r="B10" s="19" t="s">
        <v>97</v>
      </c>
      <c r="C10" s="23">
        <f>-'Raw Data Input'!C13</f>
        <v>-6400</v>
      </c>
      <c r="D10" s="23">
        <f>-'Raw Data Input'!D13</f>
        <v>-6784</v>
      </c>
      <c r="E10" s="23">
        <f>-'Raw Data Input'!E13</f>
        <v>-7191</v>
      </c>
      <c r="F10" s="23">
        <f>-'Raw Data Input'!F13</f>
        <v>-7622</v>
      </c>
      <c r="G10" s="23">
        <f>-'Raw Data Input'!G13</f>
        <v>-8080</v>
      </c>
      <c r="H10" s="23">
        <f>-'Raw Data Input'!H13</f>
        <v>-8565</v>
      </c>
      <c r="I10" s="23">
        <f>-'Raw Data Input'!I13</f>
        <v>-9079</v>
      </c>
      <c r="J10" s="23">
        <f>-'Raw Data Input'!J13</f>
        <v>-9623</v>
      </c>
      <c r="K10" s="23">
        <f>-'Raw Data Input'!K13</f>
        <v>-10201</v>
      </c>
      <c r="L10" s="23">
        <f>-'Raw Data Input'!L13</f>
        <v>-10813</v>
      </c>
      <c r="M10" s="23">
        <f>-'Raw Data Input'!M13</f>
        <v>-11461</v>
      </c>
      <c r="N10" s="23">
        <f>-'Raw Data Input'!N13</f>
        <v>-12149</v>
      </c>
    </row>
    <row r="11" spans="2:14" x14ac:dyDescent="0.35">
      <c r="B11" s="19" t="s">
        <v>98</v>
      </c>
      <c r="C11" s="23">
        <f>-'Raw Data Input'!C15</f>
        <v>-25000</v>
      </c>
      <c r="D11" s="23">
        <f>-'Raw Data Input'!D15</f>
        <v>-25000</v>
      </c>
      <c r="E11" s="23">
        <f>-'Raw Data Input'!E15</f>
        <v>-25000</v>
      </c>
      <c r="F11" s="23">
        <f>-'Raw Data Input'!F15</f>
        <v>-30000</v>
      </c>
      <c r="G11" s="23">
        <f>-'Raw Data Input'!G15</f>
        <v>-30000</v>
      </c>
      <c r="H11" s="23">
        <f>-'Raw Data Input'!H15</f>
        <v>-30000</v>
      </c>
      <c r="I11" s="23">
        <f>-'Raw Data Input'!I15</f>
        <v>-30000</v>
      </c>
      <c r="J11" s="23">
        <f>-'Raw Data Input'!J15</f>
        <v>-30000</v>
      </c>
      <c r="K11" s="23">
        <f>-'Raw Data Input'!K15</f>
        <v>-30000</v>
      </c>
      <c r="L11" s="23">
        <f>-'Raw Data Input'!L15</f>
        <v>-30000</v>
      </c>
      <c r="M11" s="23">
        <f>-'Raw Data Input'!M15</f>
        <v>-35000</v>
      </c>
      <c r="N11" s="23">
        <f>-'Raw Data Input'!N15</f>
        <v>-35000</v>
      </c>
    </row>
    <row r="12" spans="2:14" x14ac:dyDescent="0.35">
      <c r="B12" s="21" t="s">
        <v>99</v>
      </c>
      <c r="C12" s="22">
        <f t="shared" ref="C12:N12" si="0">SUM(C8:C11)</f>
        <v>1428600</v>
      </c>
      <c r="D12" s="22">
        <f t="shared" si="0"/>
        <v>1458216</v>
      </c>
      <c r="E12" s="22">
        <f t="shared" si="0"/>
        <v>1492809</v>
      </c>
      <c r="F12" s="22">
        <f t="shared" si="0"/>
        <v>1532378</v>
      </c>
      <c r="G12" s="22">
        <f t="shared" si="0"/>
        <v>1566920</v>
      </c>
      <c r="H12" s="22">
        <f t="shared" si="0"/>
        <v>1611435</v>
      </c>
      <c r="I12" s="22">
        <f t="shared" si="0"/>
        <v>1650921</v>
      </c>
      <c r="J12" s="22">
        <f t="shared" si="0"/>
        <v>1695377</v>
      </c>
      <c r="K12" s="22">
        <f t="shared" si="0"/>
        <v>1734799</v>
      </c>
      <c r="L12" s="22">
        <f t="shared" si="0"/>
        <v>1784187</v>
      </c>
      <c r="M12" s="22">
        <f t="shared" si="0"/>
        <v>1818539</v>
      </c>
      <c r="N12" s="22">
        <f t="shared" si="0"/>
        <v>1857851</v>
      </c>
    </row>
    <row r="14" spans="2:14" ht="18" customHeight="1" x14ac:dyDescent="0.35">
      <c r="B14" s="7" t="s">
        <v>100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</row>
    <row r="15" spans="2:14" x14ac:dyDescent="0.35">
      <c r="B15" s="21" t="s">
        <v>101</v>
      </c>
      <c r="C15" s="22">
        <f t="shared" ref="C15:N15" si="1">C7*12</f>
        <v>15600000</v>
      </c>
      <c r="D15" s="22">
        <f t="shared" si="1"/>
        <v>15960000</v>
      </c>
      <c r="E15" s="22">
        <f t="shared" si="1"/>
        <v>16380000</v>
      </c>
      <c r="F15" s="22">
        <f t="shared" si="1"/>
        <v>16800000</v>
      </c>
      <c r="G15" s="22">
        <f t="shared" si="1"/>
        <v>17220000</v>
      </c>
      <c r="H15" s="22">
        <f t="shared" si="1"/>
        <v>17640000</v>
      </c>
      <c r="I15" s="22">
        <f t="shared" si="1"/>
        <v>18120000</v>
      </c>
      <c r="J15" s="22">
        <f t="shared" si="1"/>
        <v>18540000</v>
      </c>
      <c r="K15" s="22">
        <f t="shared" si="1"/>
        <v>19020000</v>
      </c>
      <c r="L15" s="22">
        <f t="shared" si="1"/>
        <v>19500000</v>
      </c>
      <c r="M15" s="22">
        <f t="shared" si="1"/>
        <v>19980000</v>
      </c>
      <c r="N15" s="22">
        <f t="shared" si="1"/>
        <v>20460000</v>
      </c>
    </row>
    <row r="17" spans="2:14" ht="18" customHeight="1" x14ac:dyDescent="0.35">
      <c r="B17" s="7" t="s">
        <v>102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</row>
    <row r="18" spans="2:14" x14ac:dyDescent="0.35">
      <c r="B18" s="19" t="s">
        <v>103</v>
      </c>
      <c r="C18" s="24" t="str">
        <f>"n/a"</f>
        <v>n/a</v>
      </c>
      <c r="D18" s="25">
        <f t="shared" ref="D18:N18" si="2">IFERROR((D7-C7)/C7,0)</f>
        <v>2.3076923076923078E-2</v>
      </c>
      <c r="E18" s="25">
        <f t="shared" si="2"/>
        <v>2.6315789473684209E-2</v>
      </c>
      <c r="F18" s="25">
        <f t="shared" si="2"/>
        <v>2.564102564102564E-2</v>
      </c>
      <c r="G18" s="25">
        <f t="shared" si="2"/>
        <v>2.5000000000000001E-2</v>
      </c>
      <c r="H18" s="25">
        <f t="shared" si="2"/>
        <v>2.4390243902439025E-2</v>
      </c>
      <c r="I18" s="25">
        <f t="shared" si="2"/>
        <v>2.7210884353741496E-2</v>
      </c>
      <c r="J18" s="25">
        <f t="shared" si="2"/>
        <v>2.3178807947019868E-2</v>
      </c>
      <c r="K18" s="25">
        <f t="shared" si="2"/>
        <v>2.5889967637540454E-2</v>
      </c>
      <c r="L18" s="25">
        <f t="shared" si="2"/>
        <v>2.5236593059936908E-2</v>
      </c>
      <c r="M18" s="25">
        <f t="shared" si="2"/>
        <v>2.4615384615384615E-2</v>
      </c>
      <c r="N18" s="25">
        <f t="shared" si="2"/>
        <v>2.4024024024024024E-2</v>
      </c>
    </row>
    <row r="19" spans="2:14" x14ac:dyDescent="0.35">
      <c r="B19" s="19" t="s">
        <v>104</v>
      </c>
      <c r="C19" s="24" t="str">
        <f>"n/a"</f>
        <v>n/a</v>
      </c>
      <c r="D19" s="25">
        <f>IFERROR('Raw Data Input'!D15/C7,0)</f>
        <v>1.9230769230769232E-2</v>
      </c>
      <c r="E19" s="25">
        <f>IFERROR('Raw Data Input'!E15/D7,0)</f>
        <v>1.8796992481203006E-2</v>
      </c>
      <c r="F19" s="25">
        <f>IFERROR('Raw Data Input'!F15/E7,0)</f>
        <v>2.197802197802198E-2</v>
      </c>
      <c r="G19" s="25">
        <f>IFERROR('Raw Data Input'!G15/F7,0)</f>
        <v>2.1428571428571429E-2</v>
      </c>
      <c r="H19" s="25">
        <f>IFERROR('Raw Data Input'!H15/G7,0)</f>
        <v>2.0905923344947737E-2</v>
      </c>
      <c r="I19" s="25">
        <f>IFERROR('Raw Data Input'!I15/H7,0)</f>
        <v>2.0408163265306121E-2</v>
      </c>
      <c r="J19" s="25">
        <f>IFERROR('Raw Data Input'!J15/I7,0)</f>
        <v>1.9867549668874173E-2</v>
      </c>
      <c r="K19" s="25">
        <f>IFERROR('Raw Data Input'!K15/J7,0)</f>
        <v>1.9417475728155338E-2</v>
      </c>
      <c r="L19" s="25">
        <f>IFERROR('Raw Data Input'!L15/K7,0)</f>
        <v>1.8927444794952682E-2</v>
      </c>
      <c r="M19" s="25">
        <f>IFERROR('Raw Data Input'!M15/L7,0)</f>
        <v>2.1538461538461538E-2</v>
      </c>
      <c r="N19" s="25">
        <f>IFERROR('Raw Data Input'!N15/M7,0)</f>
        <v>2.1021021021021023E-2</v>
      </c>
    </row>
    <row r="20" spans="2:14" x14ac:dyDescent="0.35">
      <c r="B20" s="19" t="s">
        <v>105</v>
      </c>
      <c r="C20" s="26">
        <f>IFERROR(('Raw Data Input'!C11+'Raw Data Input'!C12)/('Raw Data Input'!C13+'Raw Data Input'!C15),0)</f>
        <v>46.496815286624205</v>
      </c>
      <c r="D20" s="26">
        <f>IFERROR(('Raw Data Input'!D11+'Raw Data Input'!D12)/('Raw Data Input'!D13+'Raw Data Input'!D15),0)</f>
        <v>46.878932796375537</v>
      </c>
      <c r="E20" s="26">
        <f>IFERROR(('Raw Data Input'!E11+'Raw Data Input'!E12)/('Raw Data Input'!E13+'Raw Data Input'!E15),0)</f>
        <v>47.373489484638561</v>
      </c>
      <c r="F20" s="26">
        <f>IFERROR(('Raw Data Input'!F11+'Raw Data Input'!F12)/('Raw Data Input'!F13+'Raw Data Input'!F15),0)</f>
        <v>41.730902131731433</v>
      </c>
      <c r="G20" s="26">
        <f>IFERROR(('Raw Data Input'!G11+'Raw Data Input'!G12)/('Raw Data Input'!G13+'Raw Data Input'!G15),0)</f>
        <v>42.148109243697476</v>
      </c>
      <c r="H20" s="26">
        <f>IFERROR(('Raw Data Input'!H11+'Raw Data Input'!H12)/('Raw Data Input'!H13+'Raw Data Input'!H15),0)</f>
        <v>42.784908595877091</v>
      </c>
      <c r="I20" s="26">
        <f>IFERROR(('Raw Data Input'!I11+'Raw Data Input'!I12)/('Raw Data Input'!I13+'Raw Data Input'!I15),0)</f>
        <v>43.245733002379794</v>
      </c>
      <c r="J20" s="26">
        <f>IFERROR(('Raw Data Input'!J11+'Raw Data Input'!J12)/('Raw Data Input'!J13+'Raw Data Input'!J15),0)</f>
        <v>43.787699063675142</v>
      </c>
      <c r="K20" s="26">
        <f>IFERROR(('Raw Data Input'!K11+'Raw Data Input'!K12)/('Raw Data Input'!K13+'Raw Data Input'!K15),0)</f>
        <v>44.153130519141314</v>
      </c>
      <c r="L20" s="26">
        <f>IFERROR(('Raw Data Input'!L11+'Raw Data Input'!L12)/('Raw Data Input'!L13+'Raw Data Input'!L15),0)</f>
        <v>44.716144365765807</v>
      </c>
      <c r="M20" s="26">
        <f>IFERROR(('Raw Data Input'!M11+'Raw Data Input'!M12)/('Raw Data Input'!M13+'Raw Data Input'!M15),0)</f>
        <v>40.141193689330834</v>
      </c>
      <c r="N20" s="26">
        <f>IFERROR(('Raw Data Input'!N11+'Raw Data Input'!N12)/('Raw Data Input'!N13+'Raw Data Input'!N15),0)</f>
        <v>40.403826168105368</v>
      </c>
    </row>
    <row r="21" spans="2:14" x14ac:dyDescent="0.35">
      <c r="B21" s="19" t="s">
        <v>106</v>
      </c>
      <c r="C21" s="27">
        <f>IFERROR(C7/'Raw Data Input'!C7,0)</f>
        <v>5000</v>
      </c>
      <c r="D21" s="27">
        <f>IFERROR(D7/'Raw Data Input'!D7,0)</f>
        <v>5000</v>
      </c>
      <c r="E21" s="27">
        <f>IFERROR(E7/'Raw Data Input'!E7,0)</f>
        <v>5000</v>
      </c>
      <c r="F21" s="27">
        <f>IFERROR(F7/'Raw Data Input'!F7,0)</f>
        <v>5000</v>
      </c>
      <c r="G21" s="27">
        <f>IFERROR(G7/'Raw Data Input'!G7,0)</f>
        <v>5000</v>
      </c>
      <c r="H21" s="27">
        <f>IFERROR(H7/'Raw Data Input'!H7,0)</f>
        <v>5000</v>
      </c>
      <c r="I21" s="27">
        <f>IFERROR(I7/'Raw Data Input'!I7,0)</f>
        <v>5000</v>
      </c>
      <c r="J21" s="27">
        <f>IFERROR(J7/'Raw Data Input'!J7,0)</f>
        <v>5000</v>
      </c>
      <c r="K21" s="27">
        <f>IFERROR(K7/'Raw Data Input'!K7,0)</f>
        <v>5000</v>
      </c>
      <c r="L21" s="27">
        <f>IFERROR(L7/'Raw Data Input'!L7,0)</f>
        <v>5000</v>
      </c>
      <c r="M21" s="27">
        <f>IFERROR(M7/'Raw Data Input'!M7,0)</f>
        <v>5000</v>
      </c>
      <c r="N21" s="27">
        <f>IFERROR(N7/'Raw Data Input'!N7,0)</f>
        <v>5000</v>
      </c>
    </row>
    <row r="24" spans="2:14" x14ac:dyDescent="0.35">
      <c r="D24" s="35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N28"/>
  <sheetViews>
    <sheetView zoomScaleNormal="100" workbookViewId="0">
      <pane xSplit="2" ySplit="5" topLeftCell="C12" activePane="bottomRight" state="frozen"/>
      <selection pane="topRight" activeCell="C1" sqref="C1"/>
      <selection pane="bottomLeft" activeCell="A6" sqref="A6"/>
      <selection pane="bottomRight" activeCell="C12" sqref="C12"/>
    </sheetView>
  </sheetViews>
  <sheetFormatPr defaultColWidth="8.6328125" defaultRowHeight="14.5" x14ac:dyDescent="0.35"/>
  <cols>
    <col min="1" max="1" width="3" customWidth="1"/>
    <col min="2" max="2" width="48.7265625" customWidth="1"/>
    <col min="3" max="14" width="11" customWidth="1"/>
  </cols>
  <sheetData>
    <row r="2" spans="2:14" ht="21" x14ac:dyDescent="0.5">
      <c r="B2" s="16" t="s">
        <v>107</v>
      </c>
    </row>
    <row r="3" spans="2:14" x14ac:dyDescent="0.35">
      <c r="B3" s="4" t="s">
        <v>108</v>
      </c>
    </row>
    <row r="5" spans="2:14" ht="19.5" customHeight="1" x14ac:dyDescent="0.35">
      <c r="B5" s="17" t="s">
        <v>52</v>
      </c>
      <c r="C5" s="17" t="s">
        <v>53</v>
      </c>
      <c r="D5" s="17" t="s">
        <v>54</v>
      </c>
      <c r="E5" s="17" t="s">
        <v>55</v>
      </c>
      <c r="F5" s="17" t="s">
        <v>56</v>
      </c>
      <c r="G5" s="17" t="s">
        <v>57</v>
      </c>
      <c r="H5" s="17" t="s">
        <v>3</v>
      </c>
      <c r="I5" s="17" t="s">
        <v>58</v>
      </c>
      <c r="J5" s="17" t="s">
        <v>59</v>
      </c>
      <c r="K5" s="17" t="s">
        <v>60</v>
      </c>
      <c r="L5" s="17" t="s">
        <v>61</v>
      </c>
      <c r="M5" s="17" t="s">
        <v>62</v>
      </c>
      <c r="N5" s="17" t="s">
        <v>63</v>
      </c>
    </row>
    <row r="6" spans="2:14" ht="18" customHeight="1" x14ac:dyDescent="0.35">
      <c r="B6" s="7" t="s">
        <v>109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</row>
    <row r="7" spans="2:14" x14ac:dyDescent="0.35">
      <c r="B7" s="19" t="s">
        <v>110</v>
      </c>
      <c r="C7" s="28">
        <v>0.8</v>
      </c>
      <c r="D7" s="28">
        <v>0.8</v>
      </c>
      <c r="E7" s="28">
        <v>0.8</v>
      </c>
      <c r="F7" s="28">
        <v>0.8</v>
      </c>
      <c r="G7" s="28">
        <v>0.8</v>
      </c>
      <c r="H7" s="28">
        <v>0.8</v>
      </c>
      <c r="I7" s="28">
        <v>0.8</v>
      </c>
      <c r="J7" s="28">
        <v>0.8</v>
      </c>
      <c r="K7" s="28">
        <v>0.8</v>
      </c>
      <c r="L7" s="28">
        <v>0.8</v>
      </c>
      <c r="M7" s="28">
        <v>0.8</v>
      </c>
      <c r="N7" s="28">
        <v>0.8</v>
      </c>
    </row>
    <row r="9" spans="2:14" ht="18" customHeight="1" x14ac:dyDescent="0.35">
      <c r="B9" s="7" t="s">
        <v>111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</row>
    <row r="10" spans="2:14" x14ac:dyDescent="0.35">
      <c r="B10" s="21" t="s">
        <v>112</v>
      </c>
      <c r="C10" s="22">
        <f>IFERROR('Raw Data Input'!C26/'Raw Data Input'!C24,0)</f>
        <v>28000</v>
      </c>
      <c r="D10" s="22">
        <f>IFERROR('Raw Data Input'!D26/'Raw Data Input'!D24,0)</f>
        <v>28000</v>
      </c>
      <c r="E10" s="22">
        <f>IFERROR('Raw Data Input'!E26/'Raw Data Input'!E24,0)</f>
        <v>31250</v>
      </c>
      <c r="F10" s="22">
        <f>IFERROR('Raw Data Input'!F26/'Raw Data Input'!F24,0)</f>
        <v>32352.941176470587</v>
      </c>
      <c r="G10" s="22">
        <f>IFERROR('Raw Data Input'!G26/'Raw Data Input'!G24,0)</f>
        <v>32352.941176470587</v>
      </c>
      <c r="H10" s="22">
        <f>IFERROR('Raw Data Input'!H26/'Raw Data Input'!H24,0)</f>
        <v>30555.555555555555</v>
      </c>
      <c r="I10" s="22">
        <f>IFERROR('Raw Data Input'!I26/'Raw Data Input'!I24,0)</f>
        <v>30555.555555555555</v>
      </c>
      <c r="J10" s="22">
        <f>IFERROR('Raw Data Input'!J26/'Raw Data Input'!J24,0)</f>
        <v>28947.36842105263</v>
      </c>
      <c r="K10" s="22">
        <f>IFERROR('Raw Data Input'!K26/'Raw Data Input'!K24,0)</f>
        <v>28947.36842105263</v>
      </c>
      <c r="L10" s="22">
        <f>IFERROR('Raw Data Input'!L26/'Raw Data Input'!L24,0)</f>
        <v>27500</v>
      </c>
      <c r="M10" s="22">
        <f>IFERROR('Raw Data Input'!M26/'Raw Data Input'!M24,0)</f>
        <v>27500</v>
      </c>
      <c r="N10" s="22">
        <f>IFERROR('Raw Data Input'!N26/'Raw Data Input'!N24,0)</f>
        <v>27500</v>
      </c>
    </row>
    <row r="12" spans="2:14" ht="18" customHeight="1" x14ac:dyDescent="0.35">
      <c r="B12" s="7" t="s">
        <v>113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</row>
    <row r="13" spans="2:14" x14ac:dyDescent="0.35">
      <c r="B13" s="19" t="s">
        <v>114</v>
      </c>
      <c r="C13" s="25" t="str">
        <f>"n/a"</f>
        <v>n/a</v>
      </c>
      <c r="D13" s="25">
        <f>IFERROR('Raw Data Input'!D25/'Raw Data Input'!C23,0)</f>
        <v>1.9230769230769232E-2</v>
      </c>
      <c r="E13" s="25">
        <f>IFERROR('Raw Data Input'!E25/'Raw Data Input'!D23,0)</f>
        <v>1.8796992481203006E-2</v>
      </c>
      <c r="F13" s="25">
        <f>IFERROR('Raw Data Input'!F25/'Raw Data Input'!E23,0)</f>
        <v>2.2388059701492536E-2</v>
      </c>
      <c r="G13" s="25">
        <f>IFERROR('Raw Data Input'!G25/'Raw Data Input'!F23,0)</f>
        <v>2.1897810218978103E-2</v>
      </c>
      <c r="H13" s="25">
        <f>IFERROR('Raw Data Input'!H25/'Raw Data Input'!G23,0)</f>
        <v>2.1352313167259787E-2</v>
      </c>
      <c r="I13" s="25">
        <f>IFERROR('Raw Data Input'!I25/'Raw Data Input'!H23,0)</f>
        <v>2.0833333333333332E-2</v>
      </c>
      <c r="J13" s="25">
        <f>IFERROR('Raw Data Input'!J25/'Raw Data Input'!I23,0)</f>
        <v>2.0270270270270271E-2</v>
      </c>
      <c r="K13" s="25">
        <f>IFERROR('Raw Data Input'!K25/'Raw Data Input'!J23,0)</f>
        <v>1.9801980198019802E-2</v>
      </c>
      <c r="L13" s="25">
        <f>IFERROR('Raw Data Input'!L25/'Raw Data Input'!K23,0)</f>
        <v>1.9292604501607719E-2</v>
      </c>
      <c r="M13" s="25">
        <f>IFERROR('Raw Data Input'!M25/'Raw Data Input'!L23,0)</f>
        <v>2.1943573667711599E-2</v>
      </c>
      <c r="N13" s="25">
        <f>IFERROR('Raw Data Input'!N25/'Raw Data Input'!M23,0)</f>
        <v>2.1472392638036811E-2</v>
      </c>
    </row>
    <row r="14" spans="2:14" x14ac:dyDescent="0.35">
      <c r="B14" s="19" t="s">
        <v>115</v>
      </c>
      <c r="C14" s="23">
        <f>'MRR-ARR'!C21</f>
        <v>5000</v>
      </c>
      <c r="D14" s="23">
        <f>'MRR-ARR'!D21</f>
        <v>5000</v>
      </c>
      <c r="E14" s="23">
        <f>'MRR-ARR'!E21</f>
        <v>5000</v>
      </c>
      <c r="F14" s="23">
        <f>'MRR-ARR'!F21</f>
        <v>5000</v>
      </c>
      <c r="G14" s="23">
        <f>'MRR-ARR'!G21</f>
        <v>5000</v>
      </c>
      <c r="H14" s="23">
        <f>'MRR-ARR'!H21</f>
        <v>5000</v>
      </c>
      <c r="I14" s="23">
        <f>'MRR-ARR'!I21</f>
        <v>5000</v>
      </c>
      <c r="J14" s="23">
        <f>'MRR-ARR'!J21</f>
        <v>5000</v>
      </c>
      <c r="K14" s="23">
        <f>'MRR-ARR'!K21</f>
        <v>5000</v>
      </c>
      <c r="L14" s="23">
        <f>'MRR-ARR'!L21</f>
        <v>5000</v>
      </c>
      <c r="M14" s="23">
        <f>'MRR-ARR'!M21</f>
        <v>5000</v>
      </c>
      <c r="N14" s="23">
        <f>'MRR-ARR'!N21</f>
        <v>5000</v>
      </c>
    </row>
    <row r="15" spans="2:14" x14ac:dyDescent="0.35">
      <c r="B15" s="21" t="s">
        <v>116</v>
      </c>
      <c r="C15" s="22" t="str">
        <f>"n/a"</f>
        <v>n/a</v>
      </c>
      <c r="D15" s="22">
        <f t="shared" ref="D15:N15" si="0">IFERROR((D14*D7)/D13,0)</f>
        <v>208000</v>
      </c>
      <c r="E15" s="22">
        <f t="shared" si="0"/>
        <v>212800</v>
      </c>
      <c r="F15" s="22">
        <f t="shared" si="0"/>
        <v>178666.66666666669</v>
      </c>
      <c r="G15" s="22">
        <f t="shared" si="0"/>
        <v>182666.66666666666</v>
      </c>
      <c r="H15" s="22">
        <f t="shared" si="0"/>
        <v>187333.33333333331</v>
      </c>
      <c r="I15" s="22">
        <f t="shared" si="0"/>
        <v>192000</v>
      </c>
      <c r="J15" s="22">
        <f t="shared" si="0"/>
        <v>197333.33333333331</v>
      </c>
      <c r="K15" s="22">
        <f t="shared" si="0"/>
        <v>202000</v>
      </c>
      <c r="L15" s="22">
        <f t="shared" si="0"/>
        <v>207333.33333333331</v>
      </c>
      <c r="M15" s="22">
        <f t="shared" si="0"/>
        <v>182285.71428571429</v>
      </c>
      <c r="N15" s="22">
        <f t="shared" si="0"/>
        <v>186285.71428571429</v>
      </c>
    </row>
    <row r="16" spans="2:14" x14ac:dyDescent="0.35">
      <c r="B16" s="21" t="s">
        <v>16</v>
      </c>
      <c r="C16" s="29" t="str">
        <f>"n/a"</f>
        <v>n/a</v>
      </c>
      <c r="D16" s="29">
        <f t="shared" ref="D16:N16" si="1">IFERROR(D15/D10,0)</f>
        <v>7.4285714285714288</v>
      </c>
      <c r="E16" s="29">
        <f t="shared" si="1"/>
        <v>6.8095999999999997</v>
      </c>
      <c r="F16" s="29">
        <f t="shared" si="1"/>
        <v>5.5224242424242433</v>
      </c>
      <c r="G16" s="29">
        <f t="shared" si="1"/>
        <v>5.6460606060606056</v>
      </c>
      <c r="H16" s="29">
        <f t="shared" si="1"/>
        <v>6.1309090909090909</v>
      </c>
      <c r="I16" s="29">
        <f t="shared" si="1"/>
        <v>6.2836363636363641</v>
      </c>
      <c r="J16" s="29">
        <f t="shared" si="1"/>
        <v>6.8169696969696965</v>
      </c>
      <c r="K16" s="29">
        <f t="shared" si="1"/>
        <v>6.9781818181818185</v>
      </c>
      <c r="L16" s="29">
        <f t="shared" si="1"/>
        <v>7.5393939393939391</v>
      </c>
      <c r="M16" s="29">
        <f t="shared" si="1"/>
        <v>6.628571428571429</v>
      </c>
      <c r="N16" s="29">
        <f t="shared" si="1"/>
        <v>6.7740259740259745</v>
      </c>
    </row>
    <row r="18" spans="2:14" ht="18" customHeight="1" x14ac:dyDescent="0.35">
      <c r="B18" s="7" t="s">
        <v>117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</row>
    <row r="19" spans="2:14" x14ac:dyDescent="0.35">
      <c r="B19" s="19" t="s">
        <v>118</v>
      </c>
      <c r="C19" s="30" t="str">
        <f t="shared" ref="C19:N19" si="2">C13</f>
        <v>n/a</v>
      </c>
      <c r="D19" s="30">
        <f t="shared" si="2"/>
        <v>1.9230769230769232E-2</v>
      </c>
      <c r="E19" s="30">
        <f t="shared" si="2"/>
        <v>1.8796992481203006E-2</v>
      </c>
      <c r="F19" s="30">
        <f t="shared" si="2"/>
        <v>2.2388059701492536E-2</v>
      </c>
      <c r="G19" s="30">
        <f t="shared" si="2"/>
        <v>2.1897810218978103E-2</v>
      </c>
      <c r="H19" s="30">
        <f t="shared" si="2"/>
        <v>2.1352313167259787E-2</v>
      </c>
      <c r="I19" s="30">
        <f t="shared" si="2"/>
        <v>2.0833333333333332E-2</v>
      </c>
      <c r="J19" s="30">
        <f t="shared" si="2"/>
        <v>2.0270270270270271E-2</v>
      </c>
      <c r="K19" s="30">
        <f t="shared" si="2"/>
        <v>1.9801980198019802E-2</v>
      </c>
      <c r="L19" s="30">
        <f t="shared" si="2"/>
        <v>1.9292604501607719E-2</v>
      </c>
      <c r="M19" s="30">
        <f t="shared" si="2"/>
        <v>2.1943573667711599E-2</v>
      </c>
      <c r="N19" s="30">
        <f t="shared" si="2"/>
        <v>2.1472392638036811E-2</v>
      </c>
    </row>
    <row r="20" spans="2:14" x14ac:dyDescent="0.35">
      <c r="B20" s="21" t="s">
        <v>119</v>
      </c>
      <c r="C20" s="31" t="str">
        <f>"n/a"</f>
        <v>n/a</v>
      </c>
      <c r="D20" s="31">
        <f>IFERROR(1-'MRR-ARR'!D19+'Raw Data Input'!D12/'Raw Data Input'!C9,0)</f>
        <v>1.0423076923076922</v>
      </c>
      <c r="E20" s="31">
        <f>IFERROR(1-'MRR-ARR'!E19+'Raw Data Input'!E12/'Raw Data Input'!D9,0)</f>
        <v>1.0413533834586466</v>
      </c>
      <c r="F20" s="31">
        <f>IFERROR(1-'MRR-ARR'!F19+'Raw Data Input'!F12/'Raw Data Input'!E9,0)</f>
        <v>1.0402930402930401</v>
      </c>
      <c r="G20" s="31">
        <f>IFERROR(1-'MRR-ARR'!G19+'Raw Data Input'!G12/'Raw Data Input'!F9,0)</f>
        <v>1.0392857142857141</v>
      </c>
      <c r="H20" s="31">
        <f>IFERROR(1-'MRR-ARR'!H19+'Raw Data Input'!H12/'Raw Data Input'!G9,0)</f>
        <v>1.0418118466898953</v>
      </c>
      <c r="I20" s="31">
        <f>IFERROR(1-'MRR-ARR'!I19+'Raw Data Input'!I12/'Raw Data Input'!H9,0)</f>
        <v>1.0408163265306123</v>
      </c>
      <c r="J20" s="31">
        <f>IFERROR(1-'MRR-ARR'!J19+'Raw Data Input'!J12/'Raw Data Input'!I9,0)</f>
        <v>1.0430463576158941</v>
      </c>
      <c r="K20" s="31">
        <f>IFERROR(1-'MRR-ARR'!K19+'Raw Data Input'!K12/'Raw Data Input'!J9,0)</f>
        <v>1.0420711974110033</v>
      </c>
      <c r="L20" s="31">
        <f>IFERROR(1-'MRR-ARR'!L19+'Raw Data Input'!L12/'Raw Data Input'!K9,0)</f>
        <v>1.0441640378548895</v>
      </c>
      <c r="M20" s="31">
        <f>IFERROR(1-'MRR-ARR'!M19+'Raw Data Input'!M12/'Raw Data Input'!L9,0)</f>
        <v>1.04</v>
      </c>
      <c r="N20" s="31">
        <f>IFERROR(1-'MRR-ARR'!N19+'Raw Data Input'!N12/'Raw Data Input'!M9,0)</f>
        <v>1.0390390390390392</v>
      </c>
    </row>
    <row r="21" spans="2:14" x14ac:dyDescent="0.35">
      <c r="B21" s="19" t="s">
        <v>120</v>
      </c>
      <c r="C21" s="32">
        <f>'Raw Data Input'!C31</f>
        <v>52</v>
      </c>
      <c r="D21" s="32">
        <f>'Raw Data Input'!D31</f>
        <v>53</v>
      </c>
      <c r="E21" s="32">
        <f>'Raw Data Input'!E31</f>
        <v>54</v>
      </c>
      <c r="F21" s="32">
        <f>'Raw Data Input'!F31</f>
        <v>55</v>
      </c>
      <c r="G21" s="32">
        <f>'Raw Data Input'!G31</f>
        <v>52</v>
      </c>
      <c r="H21" s="32">
        <f>'Raw Data Input'!H31</f>
        <v>53</v>
      </c>
      <c r="I21" s="32">
        <f>'Raw Data Input'!I31</f>
        <v>54</v>
      </c>
      <c r="J21" s="32">
        <f>'Raw Data Input'!J31</f>
        <v>55</v>
      </c>
      <c r="K21" s="32">
        <f>'Raw Data Input'!K31</f>
        <v>52</v>
      </c>
      <c r="L21" s="32">
        <f>'Raw Data Input'!L31</f>
        <v>53</v>
      </c>
      <c r="M21" s="32">
        <f>'Raw Data Input'!M31</f>
        <v>54</v>
      </c>
      <c r="N21" s="32">
        <f>'Raw Data Input'!N31</f>
        <v>55</v>
      </c>
    </row>
    <row r="23" spans="2:14" ht="18" customHeight="1" x14ac:dyDescent="0.35">
      <c r="B23" s="7" t="s">
        <v>121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</row>
    <row r="24" spans="2:14" x14ac:dyDescent="0.35">
      <c r="B24" s="19" t="s">
        <v>122</v>
      </c>
      <c r="C24" s="32">
        <f>'Raw Data Input'!C27</f>
        <v>176</v>
      </c>
      <c r="D24" s="32">
        <f>'Raw Data Input'!D27</f>
        <v>176</v>
      </c>
      <c r="E24" s="32">
        <f>'Raw Data Input'!E27</f>
        <v>20</v>
      </c>
      <c r="F24" s="32">
        <f>'Raw Data Input'!F27</f>
        <v>30</v>
      </c>
      <c r="G24" s="32">
        <f>'Raw Data Input'!G27</f>
        <v>30</v>
      </c>
      <c r="H24" s="32">
        <f>'Raw Data Input'!H27</f>
        <v>40</v>
      </c>
      <c r="I24" s="32">
        <f>'Raw Data Input'!I27</f>
        <v>10</v>
      </c>
      <c r="J24" s="32">
        <f>'Raw Data Input'!J27</f>
        <v>20</v>
      </c>
      <c r="K24" s="32">
        <f>'Raw Data Input'!K27</f>
        <v>30</v>
      </c>
      <c r="L24" s="32">
        <f>'Raw Data Input'!L27</f>
        <v>40</v>
      </c>
      <c r="M24" s="32">
        <f>'Raw Data Input'!M27</f>
        <v>10</v>
      </c>
      <c r="N24" s="32">
        <f>'Raw Data Input'!N27</f>
        <v>20</v>
      </c>
    </row>
    <row r="25" spans="2:14" x14ac:dyDescent="0.35">
      <c r="B25" s="19" t="s">
        <v>123</v>
      </c>
      <c r="C25" s="32">
        <f>'Raw Data Input'!C28</f>
        <v>109</v>
      </c>
      <c r="D25" s="32">
        <f>'Raw Data Input'!D28</f>
        <v>109</v>
      </c>
      <c r="E25" s="32">
        <f>'Raw Data Input'!E28</f>
        <v>5</v>
      </c>
      <c r="F25" s="32">
        <f>'Raw Data Input'!F28</f>
        <v>10</v>
      </c>
      <c r="G25" s="32">
        <f>'Raw Data Input'!G28</f>
        <v>15</v>
      </c>
      <c r="H25" s="32">
        <f>'Raw Data Input'!H28</f>
        <v>20</v>
      </c>
      <c r="I25" s="32">
        <f>'Raw Data Input'!I28</f>
        <v>10</v>
      </c>
      <c r="J25" s="32">
        <f>'Raw Data Input'!J28</f>
        <v>15</v>
      </c>
      <c r="K25" s="32">
        <f>'Raw Data Input'!K28</f>
        <v>10</v>
      </c>
      <c r="L25" s="32">
        <f>'Raw Data Input'!L28</f>
        <v>10</v>
      </c>
      <c r="M25" s="32">
        <f>'Raw Data Input'!M28</f>
        <v>10</v>
      </c>
      <c r="N25" s="32">
        <f>'Raw Data Input'!N28</f>
        <v>10</v>
      </c>
    </row>
    <row r="26" spans="2:14" x14ac:dyDescent="0.35">
      <c r="B26" s="19" t="s">
        <v>124</v>
      </c>
      <c r="C26" s="32">
        <f>'Raw Data Input'!C29</f>
        <v>59</v>
      </c>
      <c r="D26" s="32">
        <f>'Raw Data Input'!D29</f>
        <v>59</v>
      </c>
      <c r="E26" s="32">
        <f>'Raw Data Input'!E29</f>
        <v>5</v>
      </c>
      <c r="F26" s="32">
        <f>'Raw Data Input'!F29</f>
        <v>10</v>
      </c>
      <c r="G26" s="32">
        <f>'Raw Data Input'!G29</f>
        <v>15</v>
      </c>
      <c r="H26" s="32">
        <f>'Raw Data Input'!H29</f>
        <v>20</v>
      </c>
      <c r="I26" s="32">
        <f>'Raw Data Input'!I29</f>
        <v>10</v>
      </c>
      <c r="J26" s="32">
        <f>'Raw Data Input'!J29</f>
        <v>0</v>
      </c>
      <c r="K26" s="32">
        <f>'Raw Data Input'!K29</f>
        <v>10</v>
      </c>
      <c r="L26" s="32">
        <f>'Raw Data Input'!L29</f>
        <v>0</v>
      </c>
      <c r="M26" s="32">
        <f>'Raw Data Input'!M29</f>
        <v>10</v>
      </c>
      <c r="N26" s="32">
        <f>'Raw Data Input'!N29</f>
        <v>10</v>
      </c>
    </row>
    <row r="27" spans="2:14" x14ac:dyDescent="0.35">
      <c r="B27" s="19" t="s">
        <v>12</v>
      </c>
      <c r="C27" s="32">
        <f>'Raw Data Input'!C30</f>
        <v>16</v>
      </c>
      <c r="D27" s="32">
        <f>'Raw Data Input'!D30</f>
        <v>16</v>
      </c>
      <c r="E27" s="32">
        <f>'Raw Data Input'!E30</f>
        <v>5</v>
      </c>
      <c r="F27" s="32">
        <f>'Raw Data Input'!F30</f>
        <v>10</v>
      </c>
      <c r="G27" s="32">
        <f>'Raw Data Input'!G30</f>
        <v>15</v>
      </c>
      <c r="H27" s="32">
        <f>'Raw Data Input'!H30</f>
        <v>20</v>
      </c>
      <c r="I27" s="32">
        <f>'Raw Data Input'!I30</f>
        <v>10</v>
      </c>
      <c r="J27" s="32">
        <f>'Raw Data Input'!J30</f>
        <v>0</v>
      </c>
      <c r="K27" s="32">
        <f>'Raw Data Input'!K30</f>
        <v>10</v>
      </c>
      <c r="L27" s="32">
        <f>'Raw Data Input'!L30</f>
        <v>0</v>
      </c>
      <c r="M27" s="32">
        <f>'Raw Data Input'!M30</f>
        <v>10</v>
      </c>
      <c r="N27" s="32">
        <f>'Raw Data Input'!N30</f>
        <v>10</v>
      </c>
    </row>
    <row r="28" spans="2:14" x14ac:dyDescent="0.35">
      <c r="B28" s="21" t="s">
        <v>125</v>
      </c>
      <c r="C28" s="31">
        <f>IFERROR('Raw Data Input'!C30/'Raw Data Input'!C27,0)</f>
        <v>9.0909090909090912E-2</v>
      </c>
      <c r="D28" s="31">
        <f>IFERROR('Raw Data Input'!D30/'Raw Data Input'!D27,0)</f>
        <v>9.0909090909090912E-2</v>
      </c>
      <c r="E28" s="31">
        <f>IFERROR('Raw Data Input'!E30/'Raw Data Input'!E27,0)</f>
        <v>0.25</v>
      </c>
      <c r="F28" s="31">
        <f>IFERROR('Raw Data Input'!F30/'Raw Data Input'!F27,0)</f>
        <v>0.33333333333333331</v>
      </c>
      <c r="G28" s="31">
        <f>IFERROR('Raw Data Input'!G30/'Raw Data Input'!G27,0)</f>
        <v>0.5</v>
      </c>
      <c r="H28" s="31">
        <f>IFERROR('Raw Data Input'!H30/'Raw Data Input'!H27,0)</f>
        <v>0.5</v>
      </c>
      <c r="I28" s="31">
        <f>IFERROR('Raw Data Input'!I30/'Raw Data Input'!I27,0)</f>
        <v>1</v>
      </c>
      <c r="J28" s="31">
        <f>IFERROR('Raw Data Input'!J30/'Raw Data Input'!J27,0)</f>
        <v>0</v>
      </c>
      <c r="K28" s="31">
        <f>IFERROR('Raw Data Input'!K30/'Raw Data Input'!K27,0)</f>
        <v>0.33333333333333331</v>
      </c>
      <c r="L28" s="31">
        <f>IFERROR('Raw Data Input'!L30/'Raw Data Input'!L27,0)</f>
        <v>0</v>
      </c>
      <c r="M28" s="31">
        <f>IFERROR('Raw Data Input'!M30/'Raw Data Input'!M27,0)</f>
        <v>1</v>
      </c>
      <c r="N28" s="31">
        <f>IFERROR('Raw Data Input'!N30/'Raw Data Input'!N27,0)</f>
        <v>0.5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N17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ColWidth="8.6328125" defaultRowHeight="14.5" x14ac:dyDescent="0.35"/>
  <cols>
    <col min="1" max="1" width="3" customWidth="1"/>
    <col min="2" max="2" width="44" customWidth="1"/>
    <col min="3" max="3" width="14.81640625" customWidth="1"/>
    <col min="4" max="4" width="13" customWidth="1"/>
    <col min="5" max="14" width="11" customWidth="1"/>
  </cols>
  <sheetData>
    <row r="2" spans="2:14" ht="21" x14ac:dyDescent="0.5">
      <c r="B2" s="16" t="s">
        <v>126</v>
      </c>
    </row>
    <row r="3" spans="2:14" x14ac:dyDescent="0.35">
      <c r="B3" s="4" t="s">
        <v>127</v>
      </c>
    </row>
    <row r="5" spans="2:14" ht="19.5" customHeight="1" x14ac:dyDescent="0.35">
      <c r="B5" s="17" t="s">
        <v>52</v>
      </c>
      <c r="C5" s="17" t="s">
        <v>53</v>
      </c>
      <c r="D5" s="17" t="s">
        <v>54</v>
      </c>
      <c r="E5" s="17" t="s">
        <v>55</v>
      </c>
      <c r="F5" s="17" t="s">
        <v>56</v>
      </c>
      <c r="G5" s="17" t="s">
        <v>57</v>
      </c>
      <c r="H5" s="17" t="s">
        <v>3</v>
      </c>
      <c r="I5" s="17" t="s">
        <v>58</v>
      </c>
      <c r="J5" s="17" t="s">
        <v>59</v>
      </c>
      <c r="K5" s="17" t="s">
        <v>60</v>
      </c>
      <c r="L5" s="17" t="s">
        <v>61</v>
      </c>
      <c r="M5" s="17" t="s">
        <v>62</v>
      </c>
      <c r="N5" s="17" t="s">
        <v>63</v>
      </c>
    </row>
    <row r="6" spans="2:14" ht="18" customHeight="1" x14ac:dyDescent="0.35">
      <c r="B6" s="7" t="s">
        <v>128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</row>
    <row r="7" spans="2:14" x14ac:dyDescent="0.35">
      <c r="B7" s="19" t="s">
        <v>129</v>
      </c>
      <c r="C7" s="23">
        <f>'Raw Data Input'!C18</f>
        <v>1355000</v>
      </c>
      <c r="D7" s="23">
        <f>'Raw Data Input'!D18</f>
        <v>1385000</v>
      </c>
      <c r="E7" s="23">
        <f>'Raw Data Input'!E18</f>
        <v>1420000</v>
      </c>
      <c r="F7" s="23">
        <f>'Raw Data Input'!F18</f>
        <v>1455000</v>
      </c>
      <c r="G7" s="23">
        <f>'Raw Data Input'!G18</f>
        <v>1490000</v>
      </c>
      <c r="H7" s="23">
        <f>'Raw Data Input'!H18</f>
        <v>1530000</v>
      </c>
      <c r="I7" s="23">
        <f>'Raw Data Input'!I18</f>
        <v>1570000</v>
      </c>
      <c r="J7" s="23">
        <f>'Raw Data Input'!J18</f>
        <v>1610000</v>
      </c>
      <c r="K7" s="23">
        <f>'Raw Data Input'!K18</f>
        <v>1650000</v>
      </c>
      <c r="L7" s="23">
        <f>'Raw Data Input'!L18</f>
        <v>1695000</v>
      </c>
      <c r="M7" s="23">
        <f>'Raw Data Input'!M18</f>
        <v>1730000</v>
      </c>
      <c r="N7" s="23">
        <f>'Raw Data Input'!N18</f>
        <v>1770000</v>
      </c>
    </row>
    <row r="8" spans="2:14" x14ac:dyDescent="0.35">
      <c r="B8" s="19" t="s">
        <v>130</v>
      </c>
      <c r="C8" s="23">
        <f>'Raw Data Input'!C19</f>
        <v>1728000</v>
      </c>
      <c r="D8" s="23">
        <f>'Raw Data Input'!D19</f>
        <v>1831680</v>
      </c>
      <c r="E8" s="23">
        <f>'Raw Data Input'!E19</f>
        <v>1941581</v>
      </c>
      <c r="F8" s="23">
        <f>'Raw Data Input'!F19</f>
        <v>2058075</v>
      </c>
      <c r="G8" s="23">
        <f>'Raw Data Input'!G19</f>
        <v>2181561</v>
      </c>
      <c r="H8" s="23">
        <f>'Raw Data Input'!H19</f>
        <v>2312454</v>
      </c>
      <c r="I8" s="23">
        <f>'Raw Data Input'!I19</f>
        <v>2451200</v>
      </c>
      <c r="J8" s="23">
        <f>'Raw Data Input'!J19</f>
        <v>2598273</v>
      </c>
      <c r="K8" s="23">
        <f>'Raw Data Input'!K19</f>
        <v>2754170</v>
      </c>
      <c r="L8" s="23">
        <f>'Raw Data Input'!L19</f>
        <v>2919420</v>
      </c>
      <c r="M8" s="23">
        <f>'Raw Data Input'!M19</f>
        <v>3094585</v>
      </c>
      <c r="N8" s="23">
        <f>'Raw Data Input'!N19</f>
        <v>3280260</v>
      </c>
    </row>
    <row r="9" spans="2:14" x14ac:dyDescent="0.35">
      <c r="B9" s="21" t="s">
        <v>131</v>
      </c>
      <c r="C9" s="22">
        <f t="shared" ref="C9:N9" si="0">C8-C7</f>
        <v>373000</v>
      </c>
      <c r="D9" s="22">
        <f t="shared" si="0"/>
        <v>446680</v>
      </c>
      <c r="E9" s="22">
        <f t="shared" si="0"/>
        <v>521581</v>
      </c>
      <c r="F9" s="22">
        <f t="shared" si="0"/>
        <v>603075</v>
      </c>
      <c r="G9" s="22">
        <f t="shared" si="0"/>
        <v>691561</v>
      </c>
      <c r="H9" s="22">
        <f t="shared" si="0"/>
        <v>782454</v>
      </c>
      <c r="I9" s="22">
        <f t="shared" si="0"/>
        <v>881200</v>
      </c>
      <c r="J9" s="22">
        <f t="shared" si="0"/>
        <v>988273</v>
      </c>
      <c r="K9" s="22">
        <f t="shared" si="0"/>
        <v>1104170</v>
      </c>
      <c r="L9" s="22">
        <f t="shared" si="0"/>
        <v>1224420</v>
      </c>
      <c r="M9" s="22">
        <f t="shared" si="0"/>
        <v>1364585</v>
      </c>
      <c r="N9" s="22">
        <f t="shared" si="0"/>
        <v>1510260</v>
      </c>
    </row>
    <row r="11" spans="2:14" ht="18" customHeight="1" x14ac:dyDescent="0.35">
      <c r="B11" s="7" t="s">
        <v>132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</row>
    <row r="12" spans="2:14" x14ac:dyDescent="0.35">
      <c r="B12" s="19" t="s">
        <v>133</v>
      </c>
      <c r="C12" s="23">
        <f>'Raw Data Input'!C20</f>
        <v>20539200</v>
      </c>
      <c r="D12" s="23">
        <f>'Raw Data Input'!D20</f>
        <v>20023104</v>
      </c>
      <c r="E12" s="23">
        <f>'Raw Data Input'!E20</f>
        <v>19446736</v>
      </c>
      <c r="F12" s="23">
        <f>'Raw Data Input'!F20</f>
        <v>18804720</v>
      </c>
      <c r="G12" s="23">
        <f>'Raw Data Input'!G20</f>
        <v>18091250</v>
      </c>
      <c r="H12" s="23">
        <f>'Raw Data Input'!H20</f>
        <v>17300077</v>
      </c>
      <c r="I12" s="23">
        <f>'Raw Data Input'!I20</f>
        <v>16424430</v>
      </c>
      <c r="J12" s="23">
        <f>'Raw Data Input'!J20</f>
        <v>15457022</v>
      </c>
      <c r="K12" s="23">
        <f>'Raw Data Input'!K20</f>
        <v>14389995</v>
      </c>
      <c r="L12" s="23">
        <f>'Raw Data Input'!L20</f>
        <v>13214874</v>
      </c>
      <c r="M12" s="23">
        <f>'Raw Data Input'!M20</f>
        <v>11922551</v>
      </c>
      <c r="N12" s="23">
        <f>'Raw Data Input'!N20</f>
        <v>10503167</v>
      </c>
    </row>
    <row r="13" spans="2:14" x14ac:dyDescent="0.35">
      <c r="B13" s="19" t="s">
        <v>134</v>
      </c>
      <c r="C13" s="27">
        <f>AVERAGE(C9:C9)</f>
        <v>373000</v>
      </c>
      <c r="D13" s="27">
        <f>AVERAGE(C9:D9)</f>
        <v>409840</v>
      </c>
      <c r="E13" s="27">
        <f t="shared" ref="E13:N13" si="1">AVERAGE(C9:E9)</f>
        <v>447087</v>
      </c>
      <c r="F13" s="27">
        <f t="shared" si="1"/>
        <v>523778.66666666669</v>
      </c>
      <c r="G13" s="27">
        <f t="shared" si="1"/>
        <v>605405.66666666663</v>
      </c>
      <c r="H13" s="27">
        <f t="shared" si="1"/>
        <v>692363.33333333337</v>
      </c>
      <c r="I13" s="27">
        <f t="shared" si="1"/>
        <v>785071.66666666663</v>
      </c>
      <c r="J13" s="27">
        <f t="shared" si="1"/>
        <v>883975.66666666663</v>
      </c>
      <c r="K13" s="27">
        <f t="shared" si="1"/>
        <v>991214.33333333337</v>
      </c>
      <c r="L13" s="27">
        <f t="shared" si="1"/>
        <v>1105621</v>
      </c>
      <c r="M13" s="27">
        <f t="shared" si="1"/>
        <v>1231058.3333333333</v>
      </c>
      <c r="N13" s="27">
        <f t="shared" si="1"/>
        <v>1366421.6666666667</v>
      </c>
    </row>
    <row r="15" spans="2:14" ht="18" customHeight="1" x14ac:dyDescent="0.35">
      <c r="B15" s="7" t="s">
        <v>135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</row>
    <row r="16" spans="2:14" x14ac:dyDescent="0.35">
      <c r="B16" s="21" t="s">
        <v>136</v>
      </c>
      <c r="C16" s="33">
        <f t="shared" ref="C16:N16" si="2">IFERROR(C12/C13,0)</f>
        <v>55.064879356568362</v>
      </c>
      <c r="D16" s="33">
        <f t="shared" si="2"/>
        <v>48.855904743314461</v>
      </c>
      <c r="E16" s="33">
        <f t="shared" si="2"/>
        <v>43.496536468293641</v>
      </c>
      <c r="F16" s="33">
        <f t="shared" si="2"/>
        <v>35.90203495624106</v>
      </c>
      <c r="G16" s="33">
        <f t="shared" si="2"/>
        <v>29.882855407696329</v>
      </c>
      <c r="H16" s="33">
        <f t="shared" si="2"/>
        <v>24.986991897317882</v>
      </c>
      <c r="I16" s="33">
        <f t="shared" si="2"/>
        <v>20.920930785512152</v>
      </c>
      <c r="J16" s="33">
        <f t="shared" si="2"/>
        <v>17.485800325574573</v>
      </c>
      <c r="K16" s="33">
        <f t="shared" si="2"/>
        <v>14.517541278492407</v>
      </c>
      <c r="L16" s="33">
        <f t="shared" si="2"/>
        <v>11.952444825125427</v>
      </c>
      <c r="M16" s="33">
        <f t="shared" si="2"/>
        <v>9.6847977688574201</v>
      </c>
      <c r="N16" s="33">
        <f t="shared" si="2"/>
        <v>7.686622113964332</v>
      </c>
    </row>
    <row r="17" spans="2:14" x14ac:dyDescent="0.35">
      <c r="B17" s="21" t="s">
        <v>137</v>
      </c>
      <c r="C17" s="29">
        <f>IFERROR(C9/('MRR-ARR'!C12*12),0)</f>
        <v>2.1757898175369828E-2</v>
      </c>
      <c r="D17" s="29">
        <f>IFERROR(D9/('MRR-ARR'!D12*12),0)</f>
        <v>2.5526625227904051E-2</v>
      </c>
      <c r="E17" s="29">
        <f>IFERROR(E9/('MRR-ARR'!E12*12),0)</f>
        <v>2.9116305792189982E-2</v>
      </c>
      <c r="F17" s="29">
        <f>IFERROR(F9/('MRR-ARR'!F12*12),0)</f>
        <v>3.2796248706259162E-2</v>
      </c>
      <c r="G17" s="29">
        <f>IFERROR(G9/('MRR-ARR'!G12*12),0)</f>
        <v>3.677921229758592E-2</v>
      </c>
      <c r="H17" s="29">
        <f>IFERROR(H9/('MRR-ARR'!H12*12),0)</f>
        <v>4.0463624036960848E-2</v>
      </c>
      <c r="I17" s="29">
        <f>IFERROR(I9/('MRR-ARR'!I12*12),0)</f>
        <v>4.448022245360822E-2</v>
      </c>
      <c r="J17" s="29">
        <f>IFERROR(J9/('MRR-ARR'!J12*12),0)</f>
        <v>4.8576855373957138E-2</v>
      </c>
      <c r="K17" s="29">
        <f>IFERROR(K9/('MRR-ARR'!K12*12),0)</f>
        <v>5.3040246545373079E-2</v>
      </c>
      <c r="L17" s="29">
        <f>IFERROR(L9/('MRR-ARR'!L12*12),0)</f>
        <v>5.7188512190706468E-2</v>
      </c>
      <c r="M17" s="29">
        <f>IFERROR(M9/('MRR-ARR'!M12*12),0)</f>
        <v>6.253119491342593E-2</v>
      </c>
      <c r="N17" s="29">
        <f>IFERROR(N9/('MRR-ARR'!N12*12),0)</f>
        <v>6.7742246283474833E-2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N13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ColWidth="8.6328125" defaultRowHeight="14.5" x14ac:dyDescent="0.35"/>
  <cols>
    <col min="1" max="1" width="3" customWidth="1"/>
    <col min="2" max="2" width="40" customWidth="1"/>
    <col min="3" max="14" width="11" customWidth="1"/>
  </cols>
  <sheetData>
    <row r="2" spans="2:14" ht="21" x14ac:dyDescent="0.5">
      <c r="B2" s="16" t="s">
        <v>138</v>
      </c>
    </row>
    <row r="3" spans="2:14" x14ac:dyDescent="0.35">
      <c r="B3" s="4" t="s">
        <v>139</v>
      </c>
    </row>
    <row r="5" spans="2:14" ht="19.5" customHeight="1" x14ac:dyDescent="0.35">
      <c r="B5" s="17" t="s">
        <v>52</v>
      </c>
      <c r="C5" s="17" t="s">
        <v>53</v>
      </c>
      <c r="D5" s="17" t="s">
        <v>54</v>
      </c>
      <c r="E5" s="17" t="s">
        <v>55</v>
      </c>
      <c r="F5" s="17" t="s">
        <v>56</v>
      </c>
      <c r="G5" s="17" t="s">
        <v>57</v>
      </c>
      <c r="H5" s="17" t="s">
        <v>3</v>
      </c>
      <c r="I5" s="17" t="s">
        <v>58</v>
      </c>
      <c r="J5" s="17" t="s">
        <v>59</v>
      </c>
      <c r="K5" s="17" t="s">
        <v>60</v>
      </c>
      <c r="L5" s="17" t="s">
        <v>61</v>
      </c>
      <c r="M5" s="17" t="s">
        <v>62</v>
      </c>
      <c r="N5" s="17" t="s">
        <v>63</v>
      </c>
    </row>
    <row r="6" spans="2:14" ht="18" customHeight="1" x14ac:dyDescent="0.35">
      <c r="B6" s="7" t="s">
        <v>140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</row>
    <row r="7" spans="2:14" x14ac:dyDescent="0.35">
      <c r="B7" s="19" t="s">
        <v>88</v>
      </c>
      <c r="C7" s="32">
        <f>'Raw Data Input'!C34</f>
        <v>36</v>
      </c>
      <c r="D7" s="32">
        <f>'Raw Data Input'!D34</f>
        <v>37</v>
      </c>
      <c r="E7" s="32">
        <f>'Raw Data Input'!E34</f>
        <v>10</v>
      </c>
      <c r="F7" s="32">
        <f>'Raw Data Input'!F34</f>
        <v>10</v>
      </c>
      <c r="G7" s="32">
        <f>'Raw Data Input'!G34</f>
        <v>15</v>
      </c>
      <c r="H7" s="32">
        <f>'Raw Data Input'!H34</f>
        <v>15</v>
      </c>
      <c r="I7" s="32">
        <f>'Raw Data Input'!I34</f>
        <v>15</v>
      </c>
      <c r="J7" s="32">
        <f>'Raw Data Input'!J34</f>
        <v>15</v>
      </c>
      <c r="K7" s="32">
        <f>'Raw Data Input'!K34</f>
        <v>15</v>
      </c>
      <c r="L7" s="32">
        <f>'Raw Data Input'!L34</f>
        <v>15</v>
      </c>
      <c r="M7" s="32">
        <f>'Raw Data Input'!M34</f>
        <v>15</v>
      </c>
      <c r="N7" s="32">
        <f>'Raw Data Input'!N34</f>
        <v>15</v>
      </c>
    </row>
    <row r="8" spans="2:14" x14ac:dyDescent="0.35">
      <c r="B8" s="19" t="s">
        <v>141</v>
      </c>
      <c r="C8" s="32">
        <f>'Raw Data Input'!C36</f>
        <v>5</v>
      </c>
      <c r="D8" s="32">
        <f>'Raw Data Input'!D36</f>
        <v>5</v>
      </c>
      <c r="E8" s="32">
        <f>'Raw Data Input'!E36</f>
        <v>5</v>
      </c>
      <c r="F8" s="32">
        <f>'Raw Data Input'!F36</f>
        <v>5</v>
      </c>
      <c r="G8" s="32">
        <f>'Raw Data Input'!G36</f>
        <v>5</v>
      </c>
      <c r="H8" s="32">
        <f>'Raw Data Input'!H36</f>
        <v>5</v>
      </c>
      <c r="I8" s="32">
        <f>'Raw Data Input'!I36</f>
        <v>4</v>
      </c>
      <c r="J8" s="32">
        <f>'Raw Data Input'!J36</f>
        <v>4</v>
      </c>
      <c r="K8" s="32">
        <f>'Raw Data Input'!K36</f>
        <v>4</v>
      </c>
      <c r="L8" s="32">
        <f>'Raw Data Input'!L36</f>
        <v>4</v>
      </c>
      <c r="M8" s="32">
        <f>'Raw Data Input'!M36</f>
        <v>4</v>
      </c>
      <c r="N8" s="32">
        <f>'Raw Data Input'!N36</f>
        <v>4</v>
      </c>
    </row>
    <row r="9" spans="2:14" x14ac:dyDescent="0.35">
      <c r="B9" s="21" t="s">
        <v>142</v>
      </c>
      <c r="C9" s="31" t="str">
        <f>"n/a"</f>
        <v>n/a</v>
      </c>
      <c r="D9" s="31">
        <f>IFERROR('Raw Data Input'!D35/'Raw Data Input'!C34,0)</f>
        <v>0</v>
      </c>
      <c r="E9" s="31">
        <f>IFERROR('Raw Data Input'!E35/'Raw Data Input'!D34,0)</f>
        <v>0</v>
      </c>
      <c r="F9" s="31">
        <f>IFERROR('Raw Data Input'!F35/'Raw Data Input'!E34,0)</f>
        <v>0.1</v>
      </c>
      <c r="G9" s="31">
        <f>IFERROR('Raw Data Input'!G35/'Raw Data Input'!F34,0)</f>
        <v>0</v>
      </c>
      <c r="H9" s="31">
        <f>IFERROR('Raw Data Input'!H35/'Raw Data Input'!G34,0)</f>
        <v>0</v>
      </c>
      <c r="I9" s="31">
        <f>IFERROR('Raw Data Input'!I35/'Raw Data Input'!H34,0)</f>
        <v>6.6666666666666666E-2</v>
      </c>
      <c r="J9" s="31">
        <f>IFERROR('Raw Data Input'!J35/'Raw Data Input'!I34,0)</f>
        <v>0</v>
      </c>
      <c r="K9" s="31">
        <f>IFERROR('Raw Data Input'!K35/'Raw Data Input'!J34,0)</f>
        <v>0</v>
      </c>
      <c r="L9" s="31">
        <f>IFERROR('Raw Data Input'!L35/'Raw Data Input'!K34,0)</f>
        <v>6.6666666666666666E-2</v>
      </c>
      <c r="M9" s="31">
        <f>IFERROR('Raw Data Input'!M35/'Raw Data Input'!L34,0)</f>
        <v>0</v>
      </c>
      <c r="N9" s="31">
        <f>IFERROR('Raw Data Input'!N35/'Raw Data Input'!M34,0)</f>
        <v>0</v>
      </c>
    </row>
    <row r="11" spans="2:14" ht="18" customHeight="1" x14ac:dyDescent="0.35">
      <c r="B11" s="7" t="s">
        <v>143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</row>
    <row r="12" spans="2:14" x14ac:dyDescent="0.35">
      <c r="B12" s="21" t="s">
        <v>144</v>
      </c>
      <c r="C12" s="22">
        <f>IFERROR('Raw Data Input'!C18/C7,0)</f>
        <v>37638.888888888891</v>
      </c>
      <c r="D12" s="22">
        <f>IFERROR('Raw Data Input'!D18/D7,0)</f>
        <v>37432.432432432433</v>
      </c>
      <c r="E12" s="22">
        <f>IFERROR('Raw Data Input'!E18/E7,0)</f>
        <v>142000</v>
      </c>
      <c r="F12" s="22">
        <f>IFERROR('Raw Data Input'!F18/F7,0)</f>
        <v>145500</v>
      </c>
      <c r="G12" s="22">
        <f>IFERROR('Raw Data Input'!G18/G7,0)</f>
        <v>99333.333333333328</v>
      </c>
      <c r="H12" s="22">
        <f>IFERROR('Raw Data Input'!H18/H7,0)</f>
        <v>102000</v>
      </c>
      <c r="I12" s="22">
        <f>IFERROR('Raw Data Input'!I18/I7,0)</f>
        <v>104666.66666666667</v>
      </c>
      <c r="J12" s="22">
        <f>IFERROR('Raw Data Input'!J18/J7,0)</f>
        <v>107333.33333333333</v>
      </c>
      <c r="K12" s="22">
        <f>IFERROR('Raw Data Input'!K18/K7,0)</f>
        <v>110000</v>
      </c>
      <c r="L12" s="22">
        <f>IFERROR('Raw Data Input'!L18/L7,0)</f>
        <v>113000</v>
      </c>
      <c r="M12" s="22">
        <f>IFERROR('Raw Data Input'!M18/M7,0)</f>
        <v>115333.33333333333</v>
      </c>
      <c r="N12" s="22">
        <f>IFERROR('Raw Data Input'!N18/N7,0)</f>
        <v>118000</v>
      </c>
    </row>
    <row r="13" spans="2:14" x14ac:dyDescent="0.35">
      <c r="B13" s="19" t="s">
        <v>145</v>
      </c>
      <c r="C13" s="27">
        <f>IFERROR('MRR-ARR'!C7/C7,0)</f>
        <v>36111.111111111109</v>
      </c>
      <c r="D13" s="27">
        <f>IFERROR('MRR-ARR'!D7/D7,0)</f>
        <v>35945.945945945947</v>
      </c>
      <c r="E13" s="27">
        <f>IFERROR('MRR-ARR'!E7/E7,0)</f>
        <v>136500</v>
      </c>
      <c r="F13" s="27">
        <f>IFERROR('MRR-ARR'!F7/F7,0)</f>
        <v>140000</v>
      </c>
      <c r="G13" s="27">
        <f>IFERROR('MRR-ARR'!G7/G7,0)</f>
        <v>95666.666666666672</v>
      </c>
      <c r="H13" s="27">
        <f>IFERROR('MRR-ARR'!H7/H7,0)</f>
        <v>98000</v>
      </c>
      <c r="I13" s="27">
        <f>IFERROR('MRR-ARR'!I7/I7,0)</f>
        <v>100666.66666666667</v>
      </c>
      <c r="J13" s="27">
        <f>IFERROR('MRR-ARR'!J7/J7,0)</f>
        <v>103000</v>
      </c>
      <c r="K13" s="27">
        <f>IFERROR('MRR-ARR'!K7/K7,0)</f>
        <v>105666.66666666667</v>
      </c>
      <c r="L13" s="27">
        <f>IFERROR('MRR-ARR'!L7/L7,0)</f>
        <v>108333.33333333333</v>
      </c>
      <c r="M13" s="27">
        <f>IFERROR('MRR-ARR'!M7/M7,0)</f>
        <v>111000</v>
      </c>
      <c r="N13" s="27">
        <f>IFERROR('MRR-ARR'!N7/N7,0)</f>
        <v>113666.66666666667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Read Me</vt:lpstr>
      <vt:lpstr>Raw Data Input</vt:lpstr>
      <vt:lpstr>MRR-ARR</vt:lpstr>
      <vt:lpstr>Customer Metrics</vt:lpstr>
      <vt:lpstr>Burn-Runway</vt:lpstr>
      <vt:lpstr>Team-Ops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Sapna Sharma</cp:lastModifiedBy>
  <cp:revision>0</cp:revision>
  <dcterms:created xsi:type="dcterms:W3CDTF">2026-06-19T18:46:33Z</dcterms:created>
  <dcterms:modified xsi:type="dcterms:W3CDTF">2026-06-19T19:33:55Z</dcterms:modified>
  <dc:language>en-US</dc:language>
</cp:coreProperties>
</file>